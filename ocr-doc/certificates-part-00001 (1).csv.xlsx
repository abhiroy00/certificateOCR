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ertificates-part-00001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16" fontId="0" fillId="0" borderId="0" pivotButton="0" quotePrefix="0" xfId="0"/>
    <xf numFmtId="17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1" sqref="A1"/>
    </sheetView>
  </sheetViews>
  <sheetFormatPr baseColWidth="8" defaultRowHeight="14.4"/>
  <cols>
    <col width="24.33203125" bestFit="1" customWidth="1" min="1" max="1"/>
    <col width="55.109375" bestFit="1" customWidth="1" min="3" max="3"/>
  </cols>
  <sheetData>
    <row r="1">
      <c r="A1" t="inlineStr">
        <is>
          <t>File name</t>
        </is>
      </c>
      <c r="B1" t="inlineStr">
        <is>
          <t>Review</t>
        </is>
      </c>
      <c r="C1" t="inlineStr">
        <is>
          <t>Script name</t>
        </is>
      </c>
      <c r="D1" t="inlineStr">
        <is>
          <t>Script_type</t>
        </is>
      </c>
      <c r="E1" t="inlineStr">
        <is>
          <t>Initial Folio No</t>
        </is>
      </c>
      <c r="F1" t="inlineStr">
        <is>
          <t>Initial Folio No_2</t>
        </is>
      </c>
      <c r="G1" t="inlineStr">
        <is>
          <t>CertificateNo</t>
        </is>
      </c>
      <c r="H1" t="inlineStr">
        <is>
          <t>First Share Holder Name</t>
        </is>
      </c>
      <c r="I1" t="inlineStr">
        <is>
          <t>No of Shares</t>
        </is>
      </c>
      <c r="J1" t="inlineStr">
        <is>
          <t>Face Value Per Share</t>
        </is>
      </c>
      <c r="K1" t="inlineStr">
        <is>
          <t>From Distinctive No</t>
        </is>
      </c>
      <c r="L1" t="inlineStr">
        <is>
          <t>To Distinctive No.</t>
        </is>
      </c>
      <c r="M1" t="inlineStr">
        <is>
          <t>Date of Issue</t>
        </is>
      </c>
      <c r="N1" t="inlineStr">
        <is>
          <t>Present Share Holder Name</t>
        </is>
      </c>
      <c r="O1" t="inlineStr">
        <is>
          <t>Present Transfer Date</t>
        </is>
      </c>
      <c r="P1" t="inlineStr">
        <is>
          <t>Present Folio No</t>
        </is>
      </c>
      <c r="Q1" t="inlineStr">
        <is>
          <t>Remarks</t>
        </is>
      </c>
      <c r="R1" t="inlineStr">
        <is>
          <t>Validation Flags</t>
        </is>
      </c>
      <c r="S1" t="inlineStr">
        <is>
          <t>Folio No History</t>
        </is>
      </c>
      <c r="T1" t="inlineStr">
        <is>
          <t>Share Holder History</t>
        </is>
      </c>
      <c r="U1" t="inlineStr">
        <is>
          <t>Extracted At</t>
        </is>
      </c>
    </row>
    <row r="2">
      <c r="A2">
        <f>HYPERLINK("non_traded\433.pdf","433.pdf")</f>
        <v/>
      </c>
      <c r="B2" t="inlineStr">
        <is>
          <t>Yes</t>
        </is>
      </c>
      <c r="C2" t="inlineStr">
        <is>
          <t>RAASI LEASING LIMITED</t>
        </is>
      </c>
      <c r="D2" t="inlineStr">
        <is>
          <t>Equity</t>
        </is>
      </c>
      <c r="E2" t="n">
        <v>180</v>
      </c>
      <c r="F2" t="n">
        <v>180</v>
      </c>
      <c r="G2" t="inlineStr">
        <is>
          <t>No.33</t>
        </is>
      </c>
      <c r="H2" t="inlineStr">
        <is>
          <t>M. S. SURARAHANYAN RAJU</t>
        </is>
      </c>
      <c r="I2" t="n">
        <v>100</v>
      </c>
      <c r="J2" t="n">
        <v>10</v>
      </c>
      <c r="K2" t="n">
        <v>45951</v>
      </c>
      <c r="L2" t="n">
        <v>46550</v>
      </c>
      <c r="M2" s="1" t="n">
        <v>31021</v>
      </c>
      <c r="N2" t="inlineStr">
        <is>
          <t>JAGDISH P GANDHI</t>
        </is>
      </c>
      <c r="O2" s="1" t="n">
        <v>32092</v>
      </c>
      <c r="P2" t="n">
        <v>88</v>
      </c>
      <c r="Q2" t="inlineStr">
        <is>
          <t>Transferred to JAGDISH P GANDHI on 11.11.87</t>
        </is>
      </c>
      <c r="R2" t="inlineStr">
        <is>
          <t>Share count 100 != distinctive span 600; Transfer history read from transfer log - verify by eye (folios: 180 -&gt; 88; holders: M. S. SURARAHANYAN RAJU -&gt; JAGDISH P GANDHI)</t>
        </is>
      </c>
      <c r="S2" t="inlineStr">
        <is>
          <t>180 -&gt; 88</t>
        </is>
      </c>
      <c r="T2" t="inlineStr">
        <is>
          <t>M. S. SURARAHANYAN RAJU -&gt; JAGDISH P GANDHI</t>
        </is>
      </c>
      <c r="U2" t="inlineStr">
        <is>
          <t>2026-09-26T12:31:38+00:00</t>
        </is>
      </c>
    </row>
    <row r="3">
      <c r="A3">
        <f>HYPERLINK("non_traded\1338.pdf","1338.pdf")</f>
        <v/>
      </c>
      <c r="B3" t="inlineStr">
        <is>
          <t>No</t>
        </is>
      </c>
      <c r="C3" t="inlineStr">
        <is>
          <t>The Swastik Safe Deposit &amp; Investments Ltd.</t>
        </is>
      </c>
      <c r="D3" t="inlineStr">
        <is>
          <t>Equity</t>
        </is>
      </c>
      <c r="E3" t="n">
        <v>930</v>
      </c>
      <c r="F3" t="n">
        <v>930</v>
      </c>
      <c r="G3" t="n">
        <v>1338</v>
      </c>
      <c r="H3" t="inlineStr">
        <is>
          <t>Mrs. Kokila Mulraj Anjaria</t>
        </is>
      </c>
      <c r="I3" t="n">
        <v>1</v>
      </c>
      <c r="J3" t="n">
        <v>10</v>
      </c>
      <c r="K3" t="n">
        <v>2120</v>
      </c>
      <c r="L3" t="n">
        <v>2120</v>
      </c>
      <c r="M3" s="1" t="n">
        <v>30455</v>
      </c>
      <c r="N3" t="inlineStr">
        <is>
          <t>Mrs. Usha Jagdish Gandhi &amp; Mr. Jagdish Panalal Gandhi</t>
        </is>
      </c>
      <c r="O3" s="1" t="n">
        <v>30455</v>
      </c>
      <c r="P3" t="inlineStr">
        <is>
          <t>B-101</t>
        </is>
      </c>
      <c r="Q3" t="inlineStr">
        <is>
          <t>Transferred to Mrs. Usha Jagdish Gandhi &amp; Mr. Jagdish Panalal Gandhi on 19.5.83</t>
        </is>
      </c>
      <c r="R3" t="inlineStr">
        <is>
          <t>Transfer history read from transfer log - verify by eye (folios: 930 -&gt; B-101; holders: Mrs. Kokila Mulraj Anjaria -&gt; Mrs. Usha Jagdish Gandhi &amp; Mr. Jagdish Panalal Gandhi)</t>
        </is>
      </c>
      <c r="S3" t="inlineStr">
        <is>
          <t>930 -&gt; B-101</t>
        </is>
      </c>
      <c r="T3" t="inlineStr">
        <is>
          <t>Mrs. Kokila Mulraj Anjaria -&gt; Mrs. Usha Jagdish Gandhi &amp; Mr. Jagdish Panalal Gandhi</t>
        </is>
      </c>
      <c r="U3" t="inlineStr">
        <is>
          <t>2026-09-26T12:31:38+00:00</t>
        </is>
      </c>
    </row>
    <row r="4">
      <c r="A4">
        <f>HYPERLINK("non_traded\0202.pdf","0202.pdf")</f>
        <v/>
      </c>
      <c r="B4" t="inlineStr">
        <is>
          <t>No</t>
        </is>
      </c>
      <c r="C4" t="inlineStr">
        <is>
          <t>SHETTY LEASING (INDIA) LTD.</t>
        </is>
      </c>
      <c r="D4" t="inlineStr">
        <is>
          <t>Equity</t>
        </is>
      </c>
      <c r="E4" t="inlineStr">
        <is>
          <t>SIF/141</t>
        </is>
      </c>
      <c r="F4" t="inlineStr">
        <is>
          <t>SIF/141</t>
        </is>
      </c>
      <c r="G4" t="n">
        <v>202</v>
      </c>
      <c r="H4" t="inlineStr">
        <is>
          <t>M/s. Champaklal Investment &amp; Financial Consultancy Limited</t>
        </is>
      </c>
      <c r="I4" t="n">
        <v>50</v>
      </c>
      <c r="J4" t="n">
        <v>10</v>
      </c>
      <c r="K4" t="n">
        <v>415751</v>
      </c>
      <c r="L4" t="n">
        <v>415800</v>
      </c>
      <c r="M4" s="1" t="n">
        <v>30033</v>
      </c>
      <c r="N4" t="inlineStr">
        <is>
          <t>Mr. Jagdish Panalal Gandhi</t>
        </is>
      </c>
      <c r="O4" s="1" t="n">
        <v>31937</v>
      </c>
      <c r="P4" t="n">
        <v>713</v>
      </c>
      <c r="Q4" t="inlineStr">
        <is>
          <t>Transferred to Mr. Jagdish Panalal Gandhi on 09/06/87</t>
        </is>
      </c>
      <c r="R4" t="inlineStr">
        <is>
          <t>Transfer history read from transfer log - verify by eye (folios: SIF/141 -&gt; 620 -&gt; 713; holders: M/s. Champaklal Investment &amp; Financial Consultancy Limited -&gt; Mr.K.s.Satyaprakash -&gt; Mr. Jagdish Panalal Gandhi)</t>
        </is>
      </c>
      <c r="S4" t="inlineStr">
        <is>
          <t>SIF/141 -&gt; 620 -&gt; 713</t>
        </is>
      </c>
      <c r="T4" t="inlineStr">
        <is>
          <t>M/s. Champaklal Investment &amp; Financial Consultancy Limited -&gt; Mr.K.s.Satyaprakash -&gt; Mr. Jagdish Panalal Gandhi</t>
        </is>
      </c>
      <c r="U4" t="inlineStr">
        <is>
          <t>2026-09-26T12:31:38+00:00</t>
        </is>
      </c>
    </row>
    <row r="5">
      <c r="A5">
        <f>HYPERLINK("non_traded\5.pdf","5.pdf")</f>
        <v/>
      </c>
      <c r="B5" t="inlineStr">
        <is>
          <t>No</t>
        </is>
      </c>
      <c r="C5" t="inlineStr">
        <is>
          <t>KMA INTERNATIONAL LIMITED</t>
        </is>
      </c>
      <c r="D5" t="inlineStr">
        <is>
          <t>Equity</t>
        </is>
      </c>
      <c r="E5" t="n">
        <v>5</v>
      </c>
      <c r="F5" t="n">
        <v>5</v>
      </c>
      <c r="G5" t="n">
        <v>5</v>
      </c>
      <c r="H5" t="inlineStr">
        <is>
          <t>Shri Jagdish Pannalal Gandhi</t>
        </is>
      </c>
      <c r="I5" t="n">
        <v>1</v>
      </c>
      <c r="J5" t="n">
        <v>10</v>
      </c>
      <c r="K5" t="n">
        <v>5</v>
      </c>
      <c r="L5" t="n">
        <v>5</v>
      </c>
      <c r="M5" s="1" t="n">
        <v>30210</v>
      </c>
      <c r="N5" t="inlineStr">
        <is>
          <t>Shri Jagdish Pannalal Gandhi</t>
        </is>
      </c>
      <c r="P5" t="n">
        <v>5</v>
      </c>
      <c r="S5" t="n">
        <v>5</v>
      </c>
      <c r="T5" t="inlineStr">
        <is>
          <t>Shri Jagdish Pannalal Gandhi</t>
        </is>
      </c>
      <c r="U5" t="inlineStr">
        <is>
          <t>2026-09-26T12:31:38+00:00</t>
        </is>
      </c>
    </row>
    <row r="6">
      <c r="A6">
        <f>HYPERLINK("non_traded\0726.pdf","0726.pdf")</f>
        <v/>
      </c>
      <c r="B6" t="inlineStr">
        <is>
          <t>No</t>
        </is>
      </c>
      <c r="C6" t="inlineStr">
        <is>
          <t>Gateway Chemists Limited</t>
        </is>
      </c>
      <c r="D6" t="inlineStr">
        <is>
          <t>Equity</t>
        </is>
      </c>
      <c r="E6" t="inlineStr">
        <is>
          <t>GG-0029</t>
        </is>
      </c>
      <c r="F6" t="inlineStr">
        <is>
          <t>GG-0029</t>
        </is>
      </c>
      <c r="G6" t="n">
        <v>0.0726</v>
      </c>
      <c r="H6" t="inlineStr">
        <is>
          <t>Mr. Jagdish Panalal Gandhi / Mrs. Usha Jagdish Gandhi</t>
        </is>
      </c>
      <c r="I6" t="n">
        <v>50</v>
      </c>
      <c r="J6" t="n">
        <v>10</v>
      </c>
      <c r="K6" t="n">
        <v>35751</v>
      </c>
      <c r="L6" t="n">
        <v>35800</v>
      </c>
      <c r="M6" s="1" t="n">
        <v>29029</v>
      </c>
      <c r="N6" t="inlineStr">
        <is>
          <t>Mr. Jagdish Panalal Gandhi / Mrs. Usha Jagdish Gandhi</t>
        </is>
      </c>
      <c r="P6" t="inlineStr">
        <is>
          <t>GG-0029</t>
        </is>
      </c>
      <c r="S6" t="inlineStr">
        <is>
          <t>GG-0029</t>
        </is>
      </c>
      <c r="T6" t="inlineStr">
        <is>
          <t>Mr. Jagdish Panalal Gandhi / Mrs. Usha Jagdish Gandhi</t>
        </is>
      </c>
      <c r="U6" t="inlineStr">
        <is>
          <t>2026-09-26T12:31:38+00:00</t>
        </is>
      </c>
    </row>
    <row r="7">
      <c r="A7">
        <f>HYPERLINK("non_traded\328.pdf","328.pdf")</f>
        <v/>
      </c>
      <c r="B7" t="inlineStr">
        <is>
          <t>No</t>
        </is>
      </c>
      <c r="C7" t="inlineStr">
        <is>
          <t>S &amp; S POWER SWITCHGEAR LIMITED</t>
        </is>
      </c>
      <c r="D7" t="inlineStr">
        <is>
          <t>Equity</t>
        </is>
      </c>
      <c r="E7" t="n">
        <v>56</v>
      </c>
      <c r="F7" t="n">
        <v>56</v>
      </c>
      <c r="G7" t="n">
        <v>328</v>
      </c>
      <c r="H7" t="inlineStr">
        <is>
          <t>Union Bank of India</t>
        </is>
      </c>
      <c r="I7" t="n">
        <v>50</v>
      </c>
      <c r="J7" t="n">
        <v>10</v>
      </c>
      <c r="K7" t="n">
        <v>139051</v>
      </c>
      <c r="L7" t="n">
        <v>139100</v>
      </c>
      <c r="M7" s="1" t="n">
        <v>29745</v>
      </c>
      <c r="N7" t="inlineStr">
        <is>
          <t>Mr.Jagdish Panalal Gandhi / Mr.Jamak U.Bhat</t>
        </is>
      </c>
      <c r="P7" t="n">
        <v>131</v>
      </c>
      <c r="R7" t="inlineStr">
        <is>
          <t>Transfer history read from transfer log - verify by eye (folios: 56 -&gt; 131; holders: Union Bank of India -&gt; Mr.Jagdish Panalal Gandhi / Mr.Jamak U.Bhat)</t>
        </is>
      </c>
      <c r="S7" t="inlineStr">
        <is>
          <t>56 -&gt; 131</t>
        </is>
      </c>
      <c r="T7" t="inlineStr">
        <is>
          <t>Union Bank of India -&gt; Mr.Jagdish Panalal Gandhi / Mr.Jamak U.Bhat</t>
        </is>
      </c>
      <c r="U7" t="inlineStr">
        <is>
          <t>2026-09-26T12:31:38+00:00</t>
        </is>
      </c>
    </row>
    <row r="8">
      <c r="A8">
        <f>HYPERLINK("non_traded\0719.pdf","0719.pdf")</f>
        <v/>
      </c>
      <c r="B8" t="inlineStr">
        <is>
          <t>No</t>
        </is>
      </c>
      <c r="C8" t="inlineStr">
        <is>
          <t>Gateway Chemists Limited</t>
        </is>
      </c>
      <c r="D8" t="inlineStr">
        <is>
          <t>Equity</t>
        </is>
      </c>
      <c r="E8" t="inlineStr">
        <is>
          <t>GG-0029</t>
        </is>
      </c>
      <c r="F8" t="inlineStr">
        <is>
          <t>GG-0029</t>
        </is>
      </c>
      <c r="G8" t="n">
        <v>0.07190000000000001</v>
      </c>
      <c r="H8" t="inlineStr">
        <is>
          <t>Mr. Jagdish Panalal Gandhi / Mrs. Usha Jagdish Gandhi</t>
        </is>
      </c>
      <c r="I8" t="n">
        <v>50</v>
      </c>
      <c r="J8" t="n">
        <v>10</v>
      </c>
      <c r="K8" t="n">
        <v>35401</v>
      </c>
      <c r="L8" t="n">
        <v>35450</v>
      </c>
      <c r="M8" s="1" t="n">
        <v>29029</v>
      </c>
      <c r="N8" t="inlineStr">
        <is>
          <t>Mr. Jagdish Panalal Gandhi / Mrs. Usha Jagdish Gandhi</t>
        </is>
      </c>
      <c r="P8" t="inlineStr">
        <is>
          <t>GG-0029</t>
        </is>
      </c>
      <c r="S8" t="inlineStr">
        <is>
          <t>GG-0029</t>
        </is>
      </c>
      <c r="T8" t="inlineStr">
        <is>
          <t>Mr. Jagdish Panalal Gandhi / Mrs. Usha Jagdish Gandhi</t>
        </is>
      </c>
      <c r="U8" t="inlineStr">
        <is>
          <t>2026-09-26T12:31:38+00:00</t>
        </is>
      </c>
    </row>
    <row r="9">
      <c r="A9">
        <f>HYPERLINK("non_traded\519.pdf","519.pdf")</f>
        <v/>
      </c>
      <c r="B9" t="inlineStr">
        <is>
          <t>No</t>
        </is>
      </c>
      <c r="C9" t="inlineStr">
        <is>
          <t>SIGMA PAINTS LIMITED</t>
        </is>
      </c>
      <c r="D9" t="inlineStr">
        <is>
          <t>Equity</t>
        </is>
      </c>
      <c r="E9" t="n">
        <v>2499</v>
      </c>
      <c r="F9" t="n">
        <v>2499</v>
      </c>
      <c r="G9" t="n">
        <v>519</v>
      </c>
      <c r="H9" t="inlineStr">
        <is>
          <t>Mr. Kanadi Krishen Mehra and Miss Anuradha Mehra</t>
        </is>
      </c>
      <c r="I9" t="n">
        <v>500</v>
      </c>
      <c r="J9" t="n">
        <v>25</v>
      </c>
      <c r="K9" t="n">
        <v>122801</v>
      </c>
      <c r="L9" t="n">
        <v>123300</v>
      </c>
      <c r="M9" s="1" t="n">
        <v>30835</v>
      </c>
      <c r="N9" t="inlineStr">
        <is>
          <t>Mr. Jagdish Penalal Gandhi</t>
        </is>
      </c>
      <c r="O9" s="1" t="n">
        <v>31226</v>
      </c>
      <c r="P9" t="n">
        <v>305205</v>
      </c>
      <c r="Q9" t="inlineStr">
        <is>
          <t>Transferred to Mr. Jagdish Penalal Gandhi on 28/06/1985</t>
        </is>
      </c>
      <c r="R9" t="inlineStr">
        <is>
          <t>Transfer history read from transfer log - verify by eye (folios: 2499 -&gt; 305205; holders: Mr. Kanadi Krishen Mehra and Miss Anuradha Mehra -&gt; Mr. Jagdish Penalal Gandhi)</t>
        </is>
      </c>
      <c r="S9" t="inlineStr">
        <is>
          <t>2499 -&gt; 305205</t>
        </is>
      </c>
      <c r="T9" t="inlineStr">
        <is>
          <t>Mr. Kanadi Krishen Mehra and Miss Anuradha Mehra -&gt; Mr. Jagdish Penalal Gandhi</t>
        </is>
      </c>
      <c r="U9" t="inlineStr">
        <is>
          <t>2026-09-26T12:31:39+00:00</t>
        </is>
      </c>
    </row>
    <row r="10">
      <c r="A10">
        <f>HYPERLINK("non_traded\0596.pdf","0596.pdf")</f>
        <v/>
      </c>
      <c r="B10" t="inlineStr">
        <is>
          <t>No</t>
        </is>
      </c>
      <c r="C10" t="inlineStr">
        <is>
          <t>Weston Electroniks Limited</t>
        </is>
      </c>
      <c r="D10" t="inlineStr">
        <is>
          <t>Equity</t>
        </is>
      </c>
      <c r="E10" t="inlineStr">
        <is>
          <t>A-00476</t>
        </is>
      </c>
      <c r="F10" t="inlineStr">
        <is>
          <t>A-00476</t>
        </is>
      </c>
      <c r="G10" t="n">
        <v>595</v>
      </c>
      <c r="H10" t="inlineStr">
        <is>
          <t>ANJALI JAIN</t>
        </is>
      </c>
      <c r="I10" t="n">
        <v>25</v>
      </c>
      <c r="J10" t="n">
        <v>10</v>
      </c>
      <c r="K10" t="n">
        <v>383146</v>
      </c>
      <c r="L10" t="n">
        <v>383170</v>
      </c>
      <c r="M10" s="1" t="n">
        <v>34374</v>
      </c>
      <c r="N10" t="inlineStr">
        <is>
          <t>JAGDISH NARAIN KHANDELWAL</t>
        </is>
      </c>
      <c r="O10" s="1" t="n">
        <v>30862</v>
      </c>
      <c r="P10" t="inlineStr">
        <is>
          <t>J-679</t>
        </is>
      </c>
      <c r="Q10" t="inlineStr">
        <is>
          <t>Transferred to JAGDISH NARAIN KHANDELWAL on 29-06-1984</t>
        </is>
      </c>
      <c r="R10" t="inlineStr">
        <is>
          <t>Transfer history read from transfer log - verify by eye (folios: A-00476 -&gt; J-679 -&gt; N-828; holders: ANJALI JAIN -&gt; JAGDISH NARAIN KHANDELWAL -&gt; NIHAL CHAND MEHTA)</t>
        </is>
      </c>
      <c r="S10" t="inlineStr">
        <is>
          <t>A-00476 -&gt; J-679 -&gt; N-828</t>
        </is>
      </c>
      <c r="T10" t="inlineStr">
        <is>
          <t>ANJALI JAIN -&gt; JAGDISH NARAIN KHANDELWAL -&gt; NIHAL CHAND MEHTA</t>
        </is>
      </c>
      <c r="U10" t="inlineStr">
        <is>
          <t>2026-09-26T12:31:39+00:00</t>
        </is>
      </c>
    </row>
    <row r="11">
      <c r="A11">
        <f>HYPERLINK("non_traded\1006.pdf","1006.pdf")</f>
        <v/>
      </c>
      <c r="B11" t="inlineStr">
        <is>
          <t>No</t>
        </is>
      </c>
      <c r="C11" t="inlineStr">
        <is>
          <t>KAMANI METALS &amp; ALLOYS</t>
        </is>
      </c>
      <c r="D11" t="inlineStr">
        <is>
          <t>Preference</t>
        </is>
      </c>
      <c r="E11" t="n">
        <v>15</v>
      </c>
      <c r="F11" t="n">
        <v>15</v>
      </c>
      <c r="G11" t="n">
        <v>1006</v>
      </c>
      <c r="H11" t="inlineStr">
        <is>
          <t>Messrs. Atheer Hajee Dawood &amp; Co. Ltd.</t>
        </is>
      </c>
      <c r="I11" t="n">
        <v>100</v>
      </c>
      <c r="J11" t="n">
        <v>10</v>
      </c>
      <c r="K11" t="n">
        <v>104476</v>
      </c>
      <c r="L11" t="n">
        <v>104575</v>
      </c>
      <c r="M11" s="1" t="n">
        <v>16562</v>
      </c>
      <c r="N11" t="inlineStr">
        <is>
          <t>KAMANI RESOURCES PRIVATE LTD.</t>
        </is>
      </c>
      <c r="O11" s="1" t="n">
        <v>26575</v>
      </c>
      <c r="P11" t="n">
        <v>21</v>
      </c>
      <c r="Q11" t="inlineStr">
        <is>
          <t>Transferred to KAMANI RESOURCES PRIVATE LTD. on 03/10/72</t>
        </is>
      </c>
      <c r="R11" t="inlineStr">
        <is>
          <t>Transfer history read from transfer log - verify by eye (folios: 15 -&gt; 21; holders: Messrs. Atheer Hajee Dawood &amp; Co. Ltd. -&gt; KAMANI RESOURCES PRIVATE LTD.)</t>
        </is>
      </c>
      <c r="S11" t="inlineStr">
        <is>
          <t>15 -&gt; 21</t>
        </is>
      </c>
      <c r="T11" t="inlineStr">
        <is>
          <t>Messrs. Atheer Hajee Dawood &amp; Co. Ltd. -&gt; KAMANI RESOURCES PRIVATE LTD.</t>
        </is>
      </c>
      <c r="U11" t="inlineStr">
        <is>
          <t>2026-09-26T12:31:39+00:00</t>
        </is>
      </c>
    </row>
    <row r="12">
      <c r="A12">
        <f>HYPERLINK("non_traded\1393.pdf","1393.pdf")</f>
        <v/>
      </c>
      <c r="B12" t="inlineStr">
        <is>
          <t>No</t>
        </is>
      </c>
      <c r="C12" t="inlineStr">
        <is>
          <t>RAASI LEASING LIMITED</t>
        </is>
      </c>
      <c r="D12" t="inlineStr">
        <is>
          <t>Equity</t>
        </is>
      </c>
      <c r="E12" t="n">
        <v>469</v>
      </c>
      <c r="F12" t="n">
        <v>469</v>
      </c>
      <c r="G12" t="n">
        <v>1393</v>
      </c>
      <c r="H12" t="inlineStr">
        <is>
          <t>DHARA NARASIMHA SOMAYAJULU</t>
        </is>
      </c>
      <c r="I12" t="n">
        <v>100</v>
      </c>
      <c r="J12" t="n">
        <v>10</v>
      </c>
      <c r="K12" t="n">
        <v>226301</v>
      </c>
      <c r="L12" t="n">
        <v>226400</v>
      </c>
      <c r="M12" s="1" t="n">
        <v>31317</v>
      </c>
      <c r="N12" t="inlineStr">
        <is>
          <t>JAGDISH PANALAL GANDHI</t>
        </is>
      </c>
      <c r="O12" s="1" t="n">
        <v>31572</v>
      </c>
      <c r="P12" t="n">
        <v>88</v>
      </c>
      <c r="Q12" t="inlineStr">
        <is>
          <t>Transferred to HARI NARAYAN RATHI on 1987-07-15</t>
        </is>
      </c>
      <c r="R12" t="inlineStr">
        <is>
          <t>Transfer history read from transfer log - verify by eye (folios: 000469 -&gt; 000078 -&gt; 000088; holders: DHARA NARASIMHA SOMAYAJULU -&gt; HARI NARAYAN RATHI -&gt; JAGDISH PANALAL GANDHI)</t>
        </is>
      </c>
      <c r="S12" t="inlineStr">
        <is>
          <t>000469 -&gt; 000078 -&gt; 000088</t>
        </is>
      </c>
      <c r="T12" t="inlineStr">
        <is>
          <t>DHARA NARASIMHA SOMAYAJULU -&gt; HARI NARAYAN RATHI -&gt; JAGDISH PANALAL GANDHI</t>
        </is>
      </c>
      <c r="U12" t="inlineStr">
        <is>
          <t>2026-09-26T12:31:39+00:00</t>
        </is>
      </c>
    </row>
    <row r="13">
      <c r="A13">
        <f>HYPERLINK("non_traded\001444.pdf","001444.pdf")</f>
        <v/>
      </c>
      <c r="B13" t="inlineStr">
        <is>
          <t>No</t>
        </is>
      </c>
      <c r="C13" t="inlineStr">
        <is>
          <t>SOUMAG ELECTRONICS LIMITED</t>
        </is>
      </c>
      <c r="D13" t="inlineStr">
        <is>
          <t>Equity</t>
        </is>
      </c>
      <c r="E13" t="inlineStr">
        <is>
          <t>AS0043</t>
        </is>
      </c>
      <c r="F13" t="inlineStr">
        <is>
          <t>AS0043</t>
        </is>
      </c>
      <c r="G13" t="n">
        <v>1444</v>
      </c>
      <c r="H13" t="inlineStr">
        <is>
          <t>MISS L ASHAKUMARI / P LALCHAND / SARADAR BAI</t>
        </is>
      </c>
      <c r="I13" t="n">
        <v>50</v>
      </c>
      <c r="J13" t="n">
        <v>10</v>
      </c>
      <c r="K13" t="n">
        <v>44071</v>
      </c>
      <c r="L13" t="n">
        <v>44120</v>
      </c>
      <c r="M13" s="1" t="n">
        <v>31376</v>
      </c>
      <c r="N13" t="inlineStr">
        <is>
          <t>MR JAGDISH PANALAL GANDHI</t>
        </is>
      </c>
      <c r="O13" s="1" t="n">
        <v>32395</v>
      </c>
      <c r="P13" t="inlineStr">
        <is>
          <t>JA0204</t>
        </is>
      </c>
      <c r="Q13" t="inlineStr">
        <is>
          <t>Transferred to MR JAGDISH PANALAL GANDHI on 09/09/88</t>
        </is>
      </c>
      <c r="R13" t="inlineStr">
        <is>
          <t>Transfer history read from transfer log - verify by eye (folios: AS0043 -&gt; JA0204; holders: MISS L ASHAKUMARI / P LALCHAND / SARADAR BAI -&gt; MR JAGDISH PANALAL GANDHI)</t>
        </is>
      </c>
      <c r="S13" t="inlineStr">
        <is>
          <t>AS0043 -&gt; JA0204</t>
        </is>
      </c>
      <c r="T13" t="inlineStr">
        <is>
          <t>MISS L ASHAKUMARI / P LALCHAND / SARADAR BAI -&gt; MR JAGDISH PANALAL GANDHI</t>
        </is>
      </c>
      <c r="U13" t="inlineStr">
        <is>
          <t>2026-09-26T12:31:39+00:00</t>
        </is>
      </c>
    </row>
    <row r="14">
      <c r="A14">
        <f>HYPERLINK("non_traded\468-KW-II-VOL-XIX.pdf","468-KW-II-VOL-XIX.pdf")</f>
        <v/>
      </c>
      <c r="B14" t="inlineStr">
        <is>
          <t>Yes</t>
        </is>
      </c>
      <c r="C14" t="inlineStr">
        <is>
          <t>M/S STOCK HOLDING CORPORATION OF INDIA LTD</t>
        </is>
      </c>
      <c r="R14" t="inlineStr">
        <is>
          <t>Distinctive numbers missing/unreadable; Missing certificate_no; Missing share_holder_name; Missing no_of_shares; Add-on not captured: face_value_per_share, share_type, registered_folio_no</t>
        </is>
      </c>
      <c r="U14" t="inlineStr">
        <is>
          <t>2026-09-26T12:35:04+00:00</t>
        </is>
      </c>
    </row>
    <row r="15">
      <c r="A15">
        <f>HYPERLINK("non_traded\6_JAYKRISHNA.pdf","6_JAYKRISHNA.pdf")</f>
        <v/>
      </c>
      <c r="B15" t="inlineStr">
        <is>
          <t>No</t>
        </is>
      </c>
      <c r="C15" t="inlineStr">
        <is>
          <t>JAYAKRISHNA PRIVATE LIMITED</t>
        </is>
      </c>
      <c r="D15" t="inlineStr">
        <is>
          <t>Equity</t>
        </is>
      </c>
      <c r="E15" t="n">
        <v>18</v>
      </c>
      <c r="F15" t="n">
        <v>18</v>
      </c>
      <c r="G15" t="n">
        <v>6</v>
      </c>
      <c r="H15" t="inlineStr">
        <is>
          <t>MR JAGDISH PANNALAL GANDHI</t>
        </is>
      </c>
      <c r="I15" t="n">
        <v>100</v>
      </c>
      <c r="J15" t="n">
        <v>10</v>
      </c>
      <c r="K15" t="n">
        <v>40401</v>
      </c>
      <c r="L15" t="n">
        <v>40500</v>
      </c>
      <c r="M15" s="1" t="n">
        <v>29850</v>
      </c>
      <c r="N15" t="inlineStr">
        <is>
          <t>MR JAGDISH PANNALAL GANDHI</t>
        </is>
      </c>
      <c r="P15" t="n">
        <v>18</v>
      </c>
      <c r="S15" t="n">
        <v>18</v>
      </c>
      <c r="T15" t="inlineStr">
        <is>
          <t>MR JAGDISH PANNALAL GANDHI</t>
        </is>
      </c>
      <c r="U15" t="inlineStr">
        <is>
          <t>2026-09-26T12:35:04+00:00</t>
        </is>
      </c>
    </row>
    <row r="16">
      <c r="A16">
        <f>HYPERLINK("non_traded\0728.pdf","0728.pdf")</f>
        <v/>
      </c>
      <c r="B16" t="inlineStr">
        <is>
          <t>No</t>
        </is>
      </c>
      <c r="C16" t="inlineStr">
        <is>
          <t>Gateway Chemists Limited</t>
        </is>
      </c>
      <c r="D16" t="inlineStr">
        <is>
          <t>Equity</t>
        </is>
      </c>
      <c r="E16" t="inlineStr">
        <is>
          <t>GC-0029</t>
        </is>
      </c>
      <c r="F16" t="inlineStr">
        <is>
          <t>GC-0029</t>
        </is>
      </c>
      <c r="G16" t="n">
        <v>0.0728</v>
      </c>
      <c r="H16" t="inlineStr">
        <is>
          <t>Mr. Jagdish Panalal Gandhi / Mrs. Usha Jagdish Gandhi</t>
        </is>
      </c>
      <c r="I16" t="n">
        <v>50</v>
      </c>
      <c r="J16" t="n">
        <v>10</v>
      </c>
      <c r="K16" t="n">
        <v>35851</v>
      </c>
      <c r="L16" t="n">
        <v>35900</v>
      </c>
      <c r="M16" s="1" t="n">
        <v>29029</v>
      </c>
      <c r="N16" t="inlineStr">
        <is>
          <t>Mr. Jagdish Panalal Gandhi / Mrs. Usha Jagdish Gandhi</t>
        </is>
      </c>
      <c r="P16" t="inlineStr">
        <is>
          <t>GC-0029</t>
        </is>
      </c>
      <c r="S16" t="inlineStr">
        <is>
          <t>GC-0029</t>
        </is>
      </c>
      <c r="T16" t="inlineStr">
        <is>
          <t>Mr. Jagdish Panalal Gandhi / Mrs. Usha Jagdish Gandhi</t>
        </is>
      </c>
      <c r="U16" t="inlineStr">
        <is>
          <t>2026-09-26T12:35:04+00:00</t>
        </is>
      </c>
    </row>
    <row r="17">
      <c r="A17">
        <f>HYPERLINK("non_traded\1342.pdf","1342.pdf")</f>
        <v/>
      </c>
      <c r="B17" t="inlineStr">
        <is>
          <t>Yes</t>
        </is>
      </c>
      <c r="C17" t="inlineStr">
        <is>
          <t>BELL GRAPHIC RECORDING CHARTS LIMITED</t>
        </is>
      </c>
      <c r="D17" t="inlineStr">
        <is>
          <t>Equity</t>
        </is>
      </c>
      <c r="E17" t="n">
        <v>13471</v>
      </c>
      <c r="F17" t="n">
        <v>13471</v>
      </c>
      <c r="G17" t="n">
        <v>1342</v>
      </c>
      <c r="H17" t="inlineStr">
        <is>
          <t>Mr. Daru Hoshang Veveina / Mrs. Perviz Dara Veveina</t>
        </is>
      </c>
      <c r="I17" t="n">
        <v>10</v>
      </c>
      <c r="J17" t="n">
        <v>10</v>
      </c>
      <c r="K17" t="n">
        <v>13480</v>
      </c>
      <c r="L17" t="n">
        <v>13471</v>
      </c>
      <c r="M17" s="1" t="n">
        <v>25503</v>
      </c>
      <c r="N17" t="inlineStr">
        <is>
          <t>Mr. Jagdish Panalal Gandhi</t>
        </is>
      </c>
      <c r="O17" s="1" t="n">
        <v>26138</v>
      </c>
      <c r="P17" t="inlineStr">
        <is>
          <t>G/1019</t>
        </is>
      </c>
      <c r="Q17" t="inlineStr">
        <is>
          <t>Transferred to Mr. Vijay Chintaman Joshi on 18.11.70 -&gt; Transferred to Mr. Jagdish Panalal Gandhi on 24.7.1971</t>
        </is>
      </c>
      <c r="R17" t="inlineStr">
        <is>
          <t>Distinctive range runs backwards (13480 to 13471) - likely a misread digit; Transfer history read from transfer log - verify by eye (folios: 13471 -&gt; J/1281 -&gt; G/1019; holders: Mr. Daru Hoshang Veveina / Mrs. Perviz Dara Veveina -&gt; Mr. Vijay Chintaman Joshi -&gt; Mr. Jagdish Panalal Gandhi)</t>
        </is>
      </c>
      <c r="S17" t="inlineStr">
        <is>
          <t>13471 -&gt; J/1281 -&gt; G/1019</t>
        </is>
      </c>
      <c r="T17" t="inlineStr">
        <is>
          <t>Mr. Daru Hoshang Veveina / Mrs. Perviz Dara Veveina -&gt; Mr. Vijay Chintaman Joshi -&gt; Mr. Jagdish Panalal Gandhi</t>
        </is>
      </c>
      <c r="U17" t="inlineStr">
        <is>
          <t>2026-09-26T12:35:05+00:00</t>
        </is>
      </c>
    </row>
    <row r="18">
      <c r="A18">
        <f>HYPERLINK("non_traded\1090.pdf","1090.pdf")</f>
        <v/>
      </c>
      <c r="B18" t="inlineStr">
        <is>
          <t>Yes</t>
        </is>
      </c>
      <c r="C18" t="inlineStr">
        <is>
          <t>Shetty investment and finance limited</t>
        </is>
      </c>
      <c r="D18" t="inlineStr">
        <is>
          <t>Equity</t>
        </is>
      </c>
      <c r="E18" t="inlineStr">
        <is>
          <t>SIF/384</t>
        </is>
      </c>
      <c r="F18" t="inlineStr">
        <is>
          <t>SIF/384</t>
        </is>
      </c>
      <c r="G18" t="n">
        <v>1090</v>
      </c>
      <c r="H18" t="inlineStr">
        <is>
          <t>Mr. Haroor Dayanand Shetty</t>
        </is>
      </c>
      <c r="I18" t="n">
        <v>50</v>
      </c>
      <c r="J18" t="n">
        <v>10</v>
      </c>
      <c r="K18" t="n">
        <v>487601</v>
      </c>
      <c r="L18" t="n">
        <v>487850</v>
      </c>
      <c r="M18" s="1" t="n">
        <v>30963</v>
      </c>
      <c r="N18" t="inlineStr">
        <is>
          <t>Mr. Jagdish Panalal Gandhi</t>
        </is>
      </c>
      <c r="O18" s="1" t="n">
        <v>31822</v>
      </c>
      <c r="P18" t="n">
        <v>706</v>
      </c>
      <c r="Q18" t="inlineStr">
        <is>
          <t>Transferred to Mr. Jagdish Panalal Gandhi on 14/02/87</t>
        </is>
      </c>
      <c r="R18" t="inlineStr">
        <is>
          <t>Share count 50 != distinctive span 250; Transfer history read from transfer log - verify by eye (folios: SIF/384 -&gt; 514 -&gt; 706; holders: Mr. Haroor Dayanand Shetty -&gt; Mrs. Latha S. Nadig -&gt; Mr. Jagdish Panalal Gandhi)</t>
        </is>
      </c>
      <c r="S18" t="inlineStr">
        <is>
          <t>SIF/384 -&gt; 514 -&gt; 706</t>
        </is>
      </c>
      <c r="T18" t="inlineStr">
        <is>
          <t>Mr. Haroor Dayanand Shetty -&gt; Mrs. Latha S. Nadig -&gt; Mr. Jagdish Panalal Gandhi</t>
        </is>
      </c>
      <c r="U18" t="inlineStr">
        <is>
          <t>2026-09-26T12:35:07+00:00</t>
        </is>
      </c>
    </row>
    <row r="19">
      <c r="A19">
        <f>HYPERLINK("non_traded\372.pdf","372.pdf")</f>
        <v/>
      </c>
      <c r="B19" t="inlineStr">
        <is>
          <t>No</t>
        </is>
      </c>
      <c r="C19" t="inlineStr">
        <is>
          <t>DECCAN INVESTMENTS LIMITED</t>
        </is>
      </c>
      <c r="D19" t="inlineStr">
        <is>
          <t>Equity</t>
        </is>
      </c>
      <c r="E19" t="inlineStr">
        <is>
          <t>DIO359</t>
        </is>
      </c>
      <c r="F19" t="inlineStr">
        <is>
          <t>DIO359</t>
        </is>
      </c>
      <c r="G19" t="n">
        <v>372</v>
      </c>
      <c r="H19" t="inlineStr">
        <is>
          <t>MR JAGDISH PANALAL GANDHI</t>
        </is>
      </c>
      <c r="I19" t="n">
        <v>100</v>
      </c>
      <c r="J19" t="n">
        <v>10</v>
      </c>
      <c r="K19" t="n">
        <v>133701</v>
      </c>
      <c r="L19" t="n">
        <v>133800</v>
      </c>
      <c r="M19" s="1" t="n">
        <v>29351</v>
      </c>
      <c r="N19" t="inlineStr">
        <is>
          <t>MR JAGDISH PANALAL GANDHI</t>
        </is>
      </c>
      <c r="P19" t="inlineStr">
        <is>
          <t>DIO359</t>
        </is>
      </c>
      <c r="S19" t="inlineStr">
        <is>
          <t>DIO359</t>
        </is>
      </c>
      <c r="T19" t="inlineStr">
        <is>
          <t>MR JAGDISH PANALAL GANDHI</t>
        </is>
      </c>
      <c r="U19" t="inlineStr">
        <is>
          <t>2026-09-26T12:35:08+00:00</t>
        </is>
      </c>
    </row>
    <row r="20">
      <c r="A20">
        <f>HYPERLINK("non_traded\1462.pdf","1462.pdf")</f>
        <v/>
      </c>
      <c r="B20" t="inlineStr">
        <is>
          <t>No</t>
        </is>
      </c>
      <c r="C20" t="inlineStr">
        <is>
          <t>RAASI LEASING LIMITED</t>
        </is>
      </c>
      <c r="D20" t="inlineStr">
        <is>
          <t>Equity</t>
        </is>
      </c>
      <c r="E20" t="n">
        <v>483</v>
      </c>
      <c r="F20" t="n">
        <v>483</v>
      </c>
      <c r="G20" t="n">
        <v>1462</v>
      </c>
      <c r="H20" t="inlineStr">
        <is>
          <t>TUNUGUNTLA SIVA RUPA KUMAR</t>
        </is>
      </c>
      <c r="I20" t="n">
        <v>100</v>
      </c>
      <c r="J20" t="n">
        <v>10</v>
      </c>
      <c r="K20" t="n">
        <v>233201</v>
      </c>
      <c r="L20" t="n">
        <v>233300</v>
      </c>
      <c r="M20" s="1" t="n">
        <v>31317</v>
      </c>
      <c r="N20" t="inlineStr">
        <is>
          <t>JAGDISH P GANDHI</t>
        </is>
      </c>
      <c r="O20" s="1" t="n">
        <v>32092</v>
      </c>
      <c r="P20" t="n">
        <v>88</v>
      </c>
      <c r="Q20" t="inlineStr">
        <is>
          <t>Transferred to JAGDISH P GANDHI on 11-11-1987</t>
        </is>
      </c>
      <c r="R20" t="inlineStr">
        <is>
          <t>Transfer history read from transfer log - verify by eye (folios: 483 -&gt; 88; holders: TUNUGUNTLA SIVA RUPA KUMAR -&gt; JAGDISH P GANDHI)</t>
        </is>
      </c>
      <c r="S20" t="inlineStr">
        <is>
          <t>483 -&gt; 88</t>
        </is>
      </c>
      <c r="T20" t="inlineStr">
        <is>
          <t>TUNUGUNTLA SIVA RUPA KUMAR -&gt; JAGDISH P GANDHI</t>
        </is>
      </c>
      <c r="U20" t="inlineStr">
        <is>
          <t>2026-09-26T12:35:08+00:00</t>
        </is>
      </c>
    </row>
    <row r="21">
      <c r="A21">
        <f>HYPERLINK("non_traded\0260.pdf","0260.pdf")</f>
        <v/>
      </c>
      <c r="B21" t="inlineStr">
        <is>
          <t>No</t>
        </is>
      </c>
      <c r="C21" t="inlineStr">
        <is>
          <t>WRAPAIDS LIMITED</t>
        </is>
      </c>
      <c r="D21" t="inlineStr">
        <is>
          <t>Equity</t>
        </is>
      </c>
      <c r="E21" t="inlineStr">
        <is>
          <t>WL 260</t>
        </is>
      </c>
      <c r="F21" t="inlineStr">
        <is>
          <t>WL 260</t>
        </is>
      </c>
      <c r="G21" t="n">
        <v>260</v>
      </c>
      <c r="H21" t="inlineStr">
        <is>
          <t>MR JAGADISH PANALAL GANDHI / MRS USHA JAGADISH GANDHI</t>
        </is>
      </c>
      <c r="I21" t="n">
        <v>1000</v>
      </c>
      <c r="J21" t="n">
        <v>10</v>
      </c>
      <c r="K21" t="n">
        <v>308981</v>
      </c>
      <c r="L21" t="n">
        <v>309980</v>
      </c>
      <c r="M21" s="1" t="n">
        <v>33908</v>
      </c>
      <c r="N21" t="inlineStr">
        <is>
          <t>MR JAGADISH PANALAL GANDHI / MRS USHA JAGADISH GANDHI</t>
        </is>
      </c>
      <c r="P21" t="inlineStr">
        <is>
          <t>WL 260</t>
        </is>
      </c>
      <c r="S21" t="inlineStr">
        <is>
          <t>WL 260</t>
        </is>
      </c>
      <c r="T21" t="inlineStr">
        <is>
          <t>MR JAGADISH PANALAL GANDHI / MRS USHA JAGADISH GANDHI</t>
        </is>
      </c>
      <c r="U21" t="inlineStr">
        <is>
          <t>2026-09-26T12:38:17+00:00</t>
        </is>
      </c>
    </row>
    <row r="22">
      <c r="A22">
        <f>HYPERLINK("non_traded\475.pdf","475.pdf")</f>
        <v/>
      </c>
      <c r="B22" t="inlineStr">
        <is>
          <t>Yes</t>
        </is>
      </c>
      <c r="C22" t="inlineStr">
        <is>
          <t>KAMANI METALS &amp; ALLOYS LTD.</t>
        </is>
      </c>
      <c r="D22" t="inlineStr">
        <is>
          <t>Ordinary</t>
        </is>
      </c>
      <c r="E22" t="n">
        <v>181</v>
      </c>
      <c r="F22" t="n">
        <v>181</v>
      </c>
      <c r="G22" t="n">
        <v>475</v>
      </c>
      <c r="H22" t="inlineStr">
        <is>
          <t>KAMANI BROTHERS PRIVATE LTD.</t>
        </is>
      </c>
      <c r="I22" t="n">
        <v>25</v>
      </c>
      <c r="J22" t="n">
        <v>10</v>
      </c>
      <c r="K22" t="n">
        <v>1775</v>
      </c>
      <c r="L22" t="n">
        <v>4179</v>
      </c>
      <c r="M22" s="1" t="n">
        <v>24698</v>
      </c>
      <c r="N22" t="inlineStr">
        <is>
          <t>Shri JAGDISH P. GANDHI</t>
        </is>
      </c>
      <c r="O22" s="1" t="n">
        <v>29137</v>
      </c>
      <c r="Q22" t="inlineStr">
        <is>
          <t>Transferred to Shri JAGDISH P. GANDHI on 09/10/79</t>
        </is>
      </c>
      <c r="R22" t="inlineStr">
        <is>
          <t>Share count 25 != distinctive span 2405; Transfer history read from transfer log - verify by eye (folios: 0181; holders: KAMANI BROTHERS PRIVATE LTD. -&gt; Shri JAGDISH P. GANDHI); Folio history has 1 entries but holder history has 2 - a transfer row's folio or name was dropped</t>
        </is>
      </c>
      <c r="S22" t="n">
        <v>181</v>
      </c>
      <c r="T22" t="inlineStr">
        <is>
          <t>KAMANI BROTHERS PRIVATE LTD. -&gt; Shri JAGDISH P. GANDHI</t>
        </is>
      </c>
      <c r="U22" t="inlineStr">
        <is>
          <t>2026-09-26T12:38:18+00:00</t>
        </is>
      </c>
    </row>
    <row r="23">
      <c r="A23">
        <f>HYPERLINK("non_traded\0722.pdf","0722.pdf")</f>
        <v/>
      </c>
      <c r="B23" t="inlineStr">
        <is>
          <t>No</t>
        </is>
      </c>
      <c r="C23" t="inlineStr">
        <is>
          <t>Gateway Chemists Limited</t>
        </is>
      </c>
      <c r="D23" t="inlineStr">
        <is>
          <t>Equity</t>
        </is>
      </c>
      <c r="E23" t="inlineStr">
        <is>
          <t>GC-0029</t>
        </is>
      </c>
      <c r="F23" t="inlineStr">
        <is>
          <t>GC-0029</t>
        </is>
      </c>
      <c r="G23" t="n">
        <v>0.0722</v>
      </c>
      <c r="H23" t="inlineStr">
        <is>
          <t>Mr. Jagdish Panalal Gandhi / Jtly. Mrs. Usha Jagdish Gandhi</t>
        </is>
      </c>
      <c r="I23" t="n">
        <v>50</v>
      </c>
      <c r="J23" t="n">
        <v>10</v>
      </c>
      <c r="K23" t="n">
        <v>35551</v>
      </c>
      <c r="L23" t="n">
        <v>35600</v>
      </c>
      <c r="M23" s="1" t="n">
        <v>29029</v>
      </c>
      <c r="N23" t="inlineStr">
        <is>
          <t>Mr. Jagdish Panalal Gandhi / Jtly. Mrs. Usha Jagdish Gandhi</t>
        </is>
      </c>
      <c r="P23" t="inlineStr">
        <is>
          <t>GC-0029</t>
        </is>
      </c>
      <c r="S23" t="inlineStr">
        <is>
          <t>GC-0029</t>
        </is>
      </c>
      <c r="T23" t="inlineStr">
        <is>
          <t>Mr. Jagdish Panalal Gandhi / Jtly. Mrs. Usha Jagdish Gandhi</t>
        </is>
      </c>
      <c r="U23" t="inlineStr">
        <is>
          <t>2026-09-26T12:38:19+00:00</t>
        </is>
      </c>
    </row>
    <row r="24">
      <c r="A24">
        <f>HYPERLINK("non_traded\329.pdf","329.pdf")</f>
        <v/>
      </c>
      <c r="B24" t="inlineStr">
        <is>
          <t>No</t>
        </is>
      </c>
      <c r="C24" t="inlineStr">
        <is>
          <t>BELL GRAPHIC RECORDING CHARTS LIMITED</t>
        </is>
      </c>
      <c r="D24" t="inlineStr">
        <is>
          <t>Equity</t>
        </is>
      </c>
      <c r="E24" t="n">
        <v>318</v>
      </c>
      <c r="F24" t="n">
        <v>3281</v>
      </c>
      <c r="G24" t="n">
        <v>329</v>
      </c>
      <c r="H24" t="inlineStr">
        <is>
          <t>Mr. Avinash Jethalal Mehta / C/O M/s. Chunilal T. Mehta</t>
        </is>
      </c>
      <c r="I24" t="n">
        <v>10</v>
      </c>
      <c r="J24" t="n">
        <v>10</v>
      </c>
      <c r="K24" t="n">
        <v>3281</v>
      </c>
      <c r="L24" t="n">
        <v>3290</v>
      </c>
      <c r="M24" s="1" t="n">
        <v>25503</v>
      </c>
      <c r="N24" t="inlineStr">
        <is>
          <t>Jagdish P. Gandhi</t>
        </is>
      </c>
      <c r="O24" s="1" t="n">
        <v>38941</v>
      </c>
      <c r="P24" t="inlineStr">
        <is>
          <t>G/1103</t>
        </is>
      </c>
      <c r="Q24" t="inlineStr">
        <is>
          <t>Transferred to Jagdish P. Gandhi on 12/08/06</t>
        </is>
      </c>
      <c r="R24" t="inlineStr">
        <is>
          <t>Transfer history read from transfer log - verify by eye (folios: 318 -&gt; M/1888 -&gt; G/1019 -&gt; G/1103; holders: Mr. Avinash Jethalal Mehta / C/O M/s. Chunilal T. Mehta -&gt; Mr. Ramesh Jethalal Mehta -&gt; Mr. Jagadish Panalal Gandhi -&gt; Jagdish P. Gandhi)</t>
        </is>
      </c>
      <c r="S24" t="inlineStr">
        <is>
          <t>318 -&gt; M/1888 -&gt; G/1019 -&gt; G/1103</t>
        </is>
      </c>
      <c r="T24" t="inlineStr">
        <is>
          <t>Mr. Avinash Jethalal Mehta / C/O M/s. Chunilal T. Mehta -&gt; Mr. Ramesh Jethalal Mehta -&gt; Mr. Jagadish Panalal Gandhi -&gt; Jagdish P. Gandhi</t>
        </is>
      </c>
      <c r="U24" t="inlineStr">
        <is>
          <t>2026-09-26T12:39:52+00:00</t>
        </is>
      </c>
    </row>
    <row r="25">
      <c r="A25">
        <f>HYPERLINK("non_traded\1422.pdf","1422.pdf")</f>
        <v/>
      </c>
      <c r="B25" t="inlineStr">
        <is>
          <t>No</t>
        </is>
      </c>
      <c r="C25" t="inlineStr">
        <is>
          <t>KAMANI METALS &amp; ALLOYS LTD.</t>
        </is>
      </c>
      <c r="D25" t="inlineStr">
        <is>
          <t>Ordinary</t>
        </is>
      </c>
      <c r="E25" t="inlineStr">
        <is>
          <t>0/B1 1422</t>
        </is>
      </c>
      <c r="F25" t="inlineStr">
        <is>
          <t>0/B1 1422</t>
        </is>
      </c>
      <c r="G25" t="inlineStr">
        <is>
          <t>0/B1 1422</t>
        </is>
      </c>
      <c r="H25" t="inlineStr">
        <is>
          <t>KAMANI BROTHERS PRIVATE LTD.</t>
        </is>
      </c>
      <c r="I25" t="n">
        <v>25</v>
      </c>
      <c r="J25" t="n">
        <v>10</v>
      </c>
      <c r="K25" t="n">
        <v>43755</v>
      </c>
      <c r="L25" t="n">
        <v>43779</v>
      </c>
      <c r="M25" s="1" t="n">
        <v>24698</v>
      </c>
      <c r="N25" t="inlineStr">
        <is>
          <t>Shri JAGDISH P. GANDHI</t>
        </is>
      </c>
      <c r="O25" s="1" t="n">
        <v>26837</v>
      </c>
      <c r="P25" s="2" t="n">
        <v>46299</v>
      </c>
      <c r="Q25" t="inlineStr">
        <is>
          <t>Transferred to Shri JAGDISH P. GANDHI on 22/06/73</t>
        </is>
      </c>
      <c r="R25" t="inlineStr">
        <is>
          <t>Transfer history read from transfer log - verify by eye (folios: 0/B1 1422 -&gt; 4/10; holders: KAMANI BROTHERS PRIVATE LTD. -&gt; Shri JAGDISH P. GANDHI)</t>
        </is>
      </c>
      <c r="S25" t="inlineStr">
        <is>
          <t>0/B1 1422 -&gt; 4/10</t>
        </is>
      </c>
      <c r="T25" t="inlineStr">
        <is>
          <t>KAMANI BROTHERS PRIVATE LTD. -&gt; Shri JAGDISH P. GANDHI</t>
        </is>
      </c>
      <c r="U25" t="inlineStr">
        <is>
          <t>2026-09-26T12:39:53+00:00</t>
        </is>
      </c>
    </row>
    <row r="26">
      <c r="A26">
        <f>HYPERLINK("non_traded\0525.pdf","0525.pdf")</f>
        <v/>
      </c>
      <c r="B26" t="inlineStr">
        <is>
          <t>No</t>
        </is>
      </c>
      <c r="C26" t="inlineStr">
        <is>
          <t>SHETTY LEASING (INDIA) LTD.</t>
        </is>
      </c>
      <c r="D26" t="inlineStr">
        <is>
          <t>Equity</t>
        </is>
      </c>
      <c r="E26" t="inlineStr">
        <is>
          <t>SIF/140</t>
        </is>
      </c>
      <c r="F26" t="inlineStr">
        <is>
          <t>SIF/140</t>
        </is>
      </c>
      <c r="G26" t="n">
        <v>525</v>
      </c>
      <c r="H26" t="inlineStr">
        <is>
          <t>Jayakrishna Private Limited</t>
        </is>
      </c>
      <c r="I26" t="n">
        <v>50</v>
      </c>
      <c r="J26" t="n">
        <v>10</v>
      </c>
      <c r="K26" t="n">
        <v>414801</v>
      </c>
      <c r="L26" t="n">
        <v>414850</v>
      </c>
      <c r="M26" s="1" t="n">
        <v>30040</v>
      </c>
      <c r="N26" t="inlineStr">
        <is>
          <t>Mr. Jagdish Panalal Gandhi / Mr. Janardhan Rane</t>
        </is>
      </c>
      <c r="O26" s="1" t="n">
        <v>31488</v>
      </c>
      <c r="P26" t="n">
        <v>623</v>
      </c>
      <c r="Q26" t="inlineStr">
        <is>
          <t>Transferred to Mr. Jagdish Panalal Gandhi / Mr. Janardhan Rane on 17-03-86</t>
        </is>
      </c>
      <c r="R26" t="inlineStr">
        <is>
          <t>Transfer history read from transfer log - verify by eye (folios: SIF/140 -&gt; 623; holders: Jayakrishna Private Limited -&gt; Mr. Jagdish Panalal Gandhi / Mr. Janardhan Rane)</t>
        </is>
      </c>
      <c r="S26" t="inlineStr">
        <is>
          <t>SIF/140 -&gt; 623</t>
        </is>
      </c>
      <c r="T26" t="inlineStr">
        <is>
          <t>Jayakrishna Private Limited -&gt; Mr. Jagdish Panalal Gandhi / Mr. Janardhan Rane</t>
        </is>
      </c>
      <c r="U26" t="inlineStr">
        <is>
          <t>2026-09-26T12:39:53+00:00</t>
        </is>
      </c>
    </row>
    <row r="27">
      <c r="A27">
        <f>HYPERLINK("non_traded\0724.pdf","0724.pdf")</f>
        <v/>
      </c>
      <c r="B27" t="inlineStr">
        <is>
          <t>No</t>
        </is>
      </c>
      <c r="C27" t="inlineStr">
        <is>
          <t>Gateway Chemists Limited</t>
        </is>
      </c>
      <c r="D27" t="inlineStr">
        <is>
          <t>Equity</t>
        </is>
      </c>
      <c r="E27" t="inlineStr">
        <is>
          <t>GC-0029</t>
        </is>
      </c>
      <c r="F27" t="inlineStr">
        <is>
          <t>GC-0029</t>
        </is>
      </c>
      <c r="G27" t="n">
        <v>0.07240000000000001</v>
      </c>
      <c r="H27" t="inlineStr">
        <is>
          <t>Mr. Jagdish Panalal Gandhi / Mrs. Usha Jagdish Gandhi</t>
        </is>
      </c>
      <c r="I27" t="n">
        <v>50</v>
      </c>
      <c r="J27" t="n">
        <v>10</v>
      </c>
      <c r="K27" t="n">
        <v>35651</v>
      </c>
      <c r="L27" t="n">
        <v>35700</v>
      </c>
      <c r="M27" s="1" t="n">
        <v>29029</v>
      </c>
      <c r="N27" t="inlineStr">
        <is>
          <t>Mr. Jagdish Panalal Gandhi / Mrs. Usha Jagdish Gandhi</t>
        </is>
      </c>
      <c r="P27" t="inlineStr">
        <is>
          <t>GC-0029</t>
        </is>
      </c>
      <c r="S27" t="inlineStr">
        <is>
          <t>GC-0029</t>
        </is>
      </c>
      <c r="T27" t="inlineStr">
        <is>
          <t>Mr. Jagdish Panalal Gandhi / Mrs. Usha Jagdish Gandhi</t>
        </is>
      </c>
      <c r="U27" t="inlineStr">
        <is>
          <t>2026-09-26T12:40:48+00:00</t>
        </is>
      </c>
    </row>
    <row r="28">
      <c r="A28">
        <f>HYPERLINK("non_traded\477.pdf","477.pdf")</f>
        <v/>
      </c>
      <c r="B28" t="inlineStr">
        <is>
          <t>Yes</t>
        </is>
      </c>
      <c r="C28" t="inlineStr">
        <is>
          <t>KAMANI METALS &amp; ALLOYS LTD.</t>
        </is>
      </c>
      <c r="D28" t="inlineStr">
        <is>
          <t>Ordinary</t>
        </is>
      </c>
      <c r="E28" t="inlineStr">
        <is>
          <t>0/B1</t>
        </is>
      </c>
      <c r="F28" t="inlineStr">
        <is>
          <t>0/B1</t>
        </is>
      </c>
      <c r="G28" t="n">
        <v>177</v>
      </c>
      <c r="H28" t="inlineStr">
        <is>
          <t>KAMANI BROTHERS PRIVATE LTD.</t>
        </is>
      </c>
      <c r="I28" t="n">
        <v>25</v>
      </c>
      <c r="J28" t="n">
        <v>10</v>
      </c>
      <c r="K28" t="n">
        <v>186925</v>
      </c>
      <c r="L28" t="n">
        <v>186949</v>
      </c>
      <c r="M28" s="1" t="n">
        <v>24698</v>
      </c>
      <c r="N28" t="inlineStr">
        <is>
          <t>Shri JAGDISH P. GANDHI</t>
        </is>
      </c>
      <c r="O28" s="1" t="n">
        <v>29137</v>
      </c>
      <c r="P28" s="3" t="n">
        <v>51167</v>
      </c>
      <c r="Q28" t="inlineStr">
        <is>
          <t>Transferred to Shri JAGDISH P. GANDHI on 09/10/79</t>
        </is>
      </c>
      <c r="R28" t="inlineStr">
        <is>
          <t>Transfer history read from transfer log - verify by eye (folios: 0/B1 -&gt; 2/40; holders: KAMANI BROTHERS PRIVATE LTD. -&gt; M/s Smita K. Pandya -&gt; Shri JAGDISH P. GANDHI); Folio history has 2 entries but holder history has 3 - a transfer row's folio or name was dropped</t>
        </is>
      </c>
      <c r="S28" t="inlineStr">
        <is>
          <t>0/B1 -&gt; 2/40</t>
        </is>
      </c>
      <c r="T28" t="inlineStr">
        <is>
          <t>KAMANI BROTHERS PRIVATE LTD. -&gt; M/s Smita K. Pandya -&gt; Shri JAGDISH P. GANDHI</t>
        </is>
      </c>
      <c r="U28" t="inlineStr">
        <is>
          <t>2026-09-26T12:40:48+00:00</t>
        </is>
      </c>
    </row>
    <row r="29">
      <c r="A29">
        <f>HYPERLINK("non_traded\1322.pdf","1322.pdf")</f>
        <v/>
      </c>
      <c r="B29" t="inlineStr">
        <is>
          <t>No</t>
        </is>
      </c>
      <c r="C29" t="inlineStr">
        <is>
          <t>KAMANI METALS &amp; ALLOYS LTD.</t>
        </is>
      </c>
      <c r="D29" t="inlineStr">
        <is>
          <t>Ordinary</t>
        </is>
      </c>
      <c r="E29" t="inlineStr">
        <is>
          <t>O/B 1622</t>
        </is>
      </c>
      <c r="F29" t="inlineStr">
        <is>
          <t>O/B 1622</t>
        </is>
      </c>
      <c r="G29" t="n">
        <v>25</v>
      </c>
      <c r="H29" t="inlineStr">
        <is>
          <t>KAMANI BROTHERS PRIVATE LTD.</t>
        </is>
      </c>
      <c r="I29" t="n">
        <v>25</v>
      </c>
      <c r="J29" t="n">
        <v>10</v>
      </c>
      <c r="K29" t="n">
        <v>4421</v>
      </c>
      <c r="L29" t="n">
        <v>4445</v>
      </c>
      <c r="M29" s="1" t="n">
        <v>24698</v>
      </c>
      <c r="N29" t="inlineStr">
        <is>
          <t>SHRI JAGDISH P. GANDHI</t>
        </is>
      </c>
      <c r="O29" s="1" t="n">
        <v>29137</v>
      </c>
      <c r="P29" t="inlineStr">
        <is>
          <t>1/310</t>
        </is>
      </c>
      <c r="Q29" t="inlineStr">
        <is>
          <t>Transferred to SHRI JAGDISH P. GANDHI on 9 OCT 1979</t>
        </is>
      </c>
      <c r="R29" t="inlineStr">
        <is>
          <t>Transfer history read from transfer log - verify by eye (folios: O/B 1622 -&gt; 1/310; holders: KAMANI BROTHERS PRIVATE LTD. -&gt; SHRI JAGDISH P. GANDHI)</t>
        </is>
      </c>
      <c r="S29" t="inlineStr">
        <is>
          <t>O/B 1622 -&gt; 1/310</t>
        </is>
      </c>
      <c r="T29" t="inlineStr">
        <is>
          <t>KAMANI BROTHERS PRIVATE LTD. -&gt; SHRI JAGDISH P. GANDHI</t>
        </is>
      </c>
      <c r="U29" t="inlineStr">
        <is>
          <t>2026-09-26T12:41:29+00:00</t>
        </is>
      </c>
    </row>
    <row r="30">
      <c r="A30">
        <f>HYPERLINK("non_traded\6 _ MILAN INVESTMENT.pdf","6 _ MILAN INVESTMENT.pdf")</f>
        <v/>
      </c>
      <c r="B30" t="inlineStr">
        <is>
          <t>No</t>
        </is>
      </c>
      <c r="C30" t="inlineStr">
        <is>
          <t>MILAN INVESTMENTS PRIVATE LTD.</t>
        </is>
      </c>
      <c r="D30" t="inlineStr">
        <is>
          <t>Equity</t>
        </is>
      </c>
      <c r="E30" t="n">
        <v>6</v>
      </c>
      <c r="F30" t="n">
        <v>6</v>
      </c>
      <c r="G30" t="n">
        <v>6</v>
      </c>
      <c r="H30" t="inlineStr">
        <is>
          <t>MR. JAGDISH PANALAL GANDHI</t>
        </is>
      </c>
      <c r="I30" t="n">
        <v>325</v>
      </c>
      <c r="J30" t="n">
        <v>10</v>
      </c>
      <c r="K30" t="n">
        <v>1876</v>
      </c>
      <c r="L30" t="n">
        <v>2200</v>
      </c>
      <c r="M30" s="1" t="n">
        <v>26134</v>
      </c>
      <c r="N30" t="inlineStr">
        <is>
          <t>MR. JAGDISH PANALAL GANDHI</t>
        </is>
      </c>
      <c r="P30" t="n">
        <v>6</v>
      </c>
      <c r="S30" t="n">
        <v>6</v>
      </c>
      <c r="T30" t="inlineStr">
        <is>
          <t>MR. JAGDISH PANALAL GANDHI</t>
        </is>
      </c>
      <c r="U30" t="inlineStr">
        <is>
          <t>2026-09-26T12:41:30+00:00</t>
        </is>
      </c>
    </row>
    <row r="31">
      <c r="A31">
        <f>HYPERLINK("non_traded\815.pdf","815.pdf")</f>
        <v/>
      </c>
      <c r="B31" t="inlineStr">
        <is>
          <t>No</t>
        </is>
      </c>
      <c r="C31" t="inlineStr">
        <is>
          <t>Indu Nissan Oxo Chemical Industries Limited</t>
        </is>
      </c>
      <c r="D31" t="inlineStr">
        <is>
          <t>Redeemable Preference</t>
        </is>
      </c>
      <c r="E31" t="inlineStr">
        <is>
          <t>IN 200815</t>
        </is>
      </c>
      <c r="F31" t="inlineStr">
        <is>
          <t>IN 200815</t>
        </is>
      </c>
      <c r="G31" t="n">
        <v>815</v>
      </c>
      <c r="H31" t="inlineStr">
        <is>
          <t>JAGDISH PANNALAL GANDHI</t>
        </is>
      </c>
      <c r="I31" t="n">
        <v>2</v>
      </c>
      <c r="J31" t="n">
        <v>100</v>
      </c>
      <c r="K31" t="n">
        <v>20680</v>
      </c>
      <c r="L31" t="n">
        <v>20681</v>
      </c>
      <c r="M31" s="1" t="n">
        <v>32674</v>
      </c>
      <c r="N31" t="inlineStr">
        <is>
          <t>JAGDISH PANNALAL GANDHI</t>
        </is>
      </c>
      <c r="P31" t="inlineStr">
        <is>
          <t>IN 200815</t>
        </is>
      </c>
      <c r="S31" t="inlineStr">
        <is>
          <t>IN 200815</t>
        </is>
      </c>
      <c r="T31" t="inlineStr">
        <is>
          <t>JAGDISH PANNALAL GANDHI</t>
        </is>
      </c>
      <c r="U31" t="inlineStr">
        <is>
          <t>2026-09-26T12:41:31+00:00</t>
        </is>
      </c>
    </row>
    <row r="32">
      <c r="A32">
        <f>HYPERLINK("non_traded\1423.pdf","1423.pdf")</f>
        <v/>
      </c>
      <c r="B32" t="inlineStr">
        <is>
          <t>Yes</t>
        </is>
      </c>
      <c r="C32" t="inlineStr">
        <is>
          <t>KAMANI METALS &amp; ALLOYS LTD.</t>
        </is>
      </c>
      <c r="D32" t="inlineStr">
        <is>
          <t>Ordinary</t>
        </is>
      </c>
      <c r="E32" t="inlineStr">
        <is>
          <t>0/81</t>
        </is>
      </c>
      <c r="F32" t="inlineStr">
        <is>
          <t>0/81</t>
        </is>
      </c>
      <c r="G32" t="n">
        <v>1423</v>
      </c>
      <c r="H32" t="inlineStr">
        <is>
          <t>KAMANI BROTHERS PRIVATE LTD.</t>
        </is>
      </c>
      <c r="I32" t="n">
        <v>25</v>
      </c>
      <c r="J32" t="n">
        <v>10</v>
      </c>
      <c r="K32" t="n">
        <v>18715</v>
      </c>
      <c r="L32" t="n">
        <v>18739</v>
      </c>
      <c r="M32" s="1" t="n">
        <v>24698</v>
      </c>
      <c r="N32" t="inlineStr">
        <is>
          <t>Shri JAGDISH P. GANDHI</t>
        </is>
      </c>
      <c r="O32" s="1" t="n">
        <v>28456</v>
      </c>
      <c r="Q32" t="inlineStr">
        <is>
          <t>Transferred to Shri JAGDISH P. GANDHI on 27/11/77</t>
        </is>
      </c>
      <c r="R32" t="inlineStr">
        <is>
          <t>Transfer history read from transfer log - verify by eye (folios: 0/81; holders: KAMANI BROTHERS PRIVATE LTD. -&gt; Mr.Virendrakumar Kalyanbhai Nanavati / Ms.Yashomati Virendrakumar Nanavati / Mr.Hitesh Virendrakumar Nanavati -&gt; Shri JAGDISH P. GANDHI); Folio history has 1 entries but holder history has 3 - a transfer row's folio or name was dropped</t>
        </is>
      </c>
      <c r="S32" t="inlineStr">
        <is>
          <t>0/81</t>
        </is>
      </c>
      <c r="T32" t="inlineStr">
        <is>
          <t>KAMANI BROTHERS PRIVATE LTD. -&gt; Mr.Virendrakumar Kalyanbhai Nanavati / Ms.Yashomati Virendrakumar Nanavati / Mr.Hitesh Virendrakumar Nanavati -&gt; Shri JAGDISH P. GANDHI</t>
        </is>
      </c>
      <c r="U32" t="inlineStr">
        <is>
          <t>2026-09-26T12:41:31+00:00</t>
        </is>
      </c>
    </row>
    <row r="33">
      <c r="A33">
        <f>HYPERLINK("non_traded\0526.pdf","0526.pdf")</f>
        <v/>
      </c>
      <c r="B33" t="inlineStr">
        <is>
          <t>No</t>
        </is>
      </c>
      <c r="C33" t="inlineStr">
        <is>
          <t>SHETTY LEASING (INDIA) LTD.</t>
        </is>
      </c>
      <c r="D33" t="inlineStr">
        <is>
          <t>Equity</t>
        </is>
      </c>
      <c r="E33" t="inlineStr">
        <is>
          <t>SIF/140</t>
        </is>
      </c>
      <c r="F33" t="inlineStr">
        <is>
          <t>SIF/140</t>
        </is>
      </c>
      <c r="G33" t="n">
        <v>526</v>
      </c>
      <c r="H33" t="inlineStr">
        <is>
          <t>Jayakrishna Private Limited</t>
        </is>
      </c>
      <c r="I33" t="n">
        <v>50</v>
      </c>
      <c r="J33" t="n">
        <v>10</v>
      </c>
      <c r="K33" t="n">
        <v>414851</v>
      </c>
      <c r="L33" t="n">
        <v>414900</v>
      </c>
      <c r="M33" s="1" t="n">
        <v>30040</v>
      </c>
      <c r="N33" t="inlineStr">
        <is>
          <t>Mr. Jagdish Panalal Ganchi / Jtly Mr. Janardhan Rane</t>
        </is>
      </c>
      <c r="O33" s="1" t="n">
        <v>31488</v>
      </c>
      <c r="P33" t="n">
        <v>623</v>
      </c>
      <c r="Q33" t="inlineStr">
        <is>
          <t>Transferred to Mr. Jagdish Panalal Ganchi / Jtly Mr. Janardhan Rane on 17-03-86</t>
        </is>
      </c>
      <c r="R33" t="inlineStr">
        <is>
          <t>Transfer history read from transfer log - verify by eye (folios: SIF/140 -&gt; 623; holders: Jayakrishna Private Limited -&gt; Mr. Jagdish Panalal Ganchi / Jtly Mr. Janardhan Rane)</t>
        </is>
      </c>
      <c r="S33" t="inlineStr">
        <is>
          <t>SIF/140 -&gt; 623</t>
        </is>
      </c>
      <c r="T33" t="inlineStr">
        <is>
          <t>Jayakrishna Private Limited -&gt; Mr. Jagdish Panalal Ganchi / Jtly Mr. Janardhan Rane</t>
        </is>
      </c>
      <c r="U33" t="inlineStr">
        <is>
          <t>2026-09-26T12:41:32+00:00</t>
        </is>
      </c>
    </row>
    <row r="34">
      <c r="A34">
        <f>HYPERLINK("non_traded\088.pdf","088.pdf")</f>
        <v/>
      </c>
      <c r="B34" t="inlineStr">
        <is>
          <t>No</t>
        </is>
      </c>
      <c r="C34" t="inlineStr">
        <is>
          <t>OCEANIC INVESTMENTS LIMITED</t>
        </is>
      </c>
      <c r="D34" t="inlineStr">
        <is>
          <t>Equity</t>
        </is>
      </c>
      <c r="E34" t="n">
        <v>176</v>
      </c>
      <c r="F34" t="n">
        <v>176</v>
      </c>
      <c r="G34" t="n">
        <v>88</v>
      </c>
      <c r="H34" t="inlineStr">
        <is>
          <t>Mr. Jagdish Pannalal Gandhi / M/s. Champalal Evidas</t>
        </is>
      </c>
      <c r="I34" t="n">
        <v>1500</v>
      </c>
      <c r="J34" t="n">
        <v>10</v>
      </c>
      <c r="K34" t="n">
        <v>39101</v>
      </c>
      <c r="L34" t="n">
        <v>40600</v>
      </c>
      <c r="M34" s="1" t="n">
        <v>28565</v>
      </c>
      <c r="N34" t="inlineStr">
        <is>
          <t>Mr. Jagdish Pannalal Gandhi / M/s. Champalal Evidas</t>
        </is>
      </c>
      <c r="P34" t="n">
        <v>176</v>
      </c>
      <c r="S34" t="n">
        <v>176</v>
      </c>
      <c r="T34" t="inlineStr">
        <is>
          <t>Mr. Jagdish Pannalal Gandhi / M/s. Champalal Evidas</t>
        </is>
      </c>
      <c r="U34" t="inlineStr">
        <is>
          <t>2026-09-26T12:43:17+00:00</t>
        </is>
      </c>
    </row>
    <row r="35">
      <c r="A35">
        <f>HYPERLINK("non_traded\840.pdf","840.pdf")</f>
        <v/>
      </c>
      <c r="B35" t="inlineStr">
        <is>
          <t>No</t>
        </is>
      </c>
      <c r="C35" t="inlineStr">
        <is>
          <t>STEEL STRIPS LTD.</t>
        </is>
      </c>
      <c r="D35" t="inlineStr">
        <is>
          <t>Equity</t>
        </is>
      </c>
      <c r="E35" t="n">
        <v>209</v>
      </c>
      <c r="F35" t="n">
        <v>209</v>
      </c>
      <c r="G35" t="n">
        <v>840</v>
      </c>
      <c r="H35" t="inlineStr">
        <is>
          <t>Rajinder Sayal</t>
        </is>
      </c>
      <c r="I35" t="n">
        <v>50</v>
      </c>
      <c r="J35" t="n">
        <v>10</v>
      </c>
      <c r="K35" t="n">
        <v>1</v>
      </c>
      <c r="L35" t="n">
        <v>50</v>
      </c>
      <c r="M35" s="1" t="n">
        <v>28937</v>
      </c>
      <c r="N35" t="inlineStr">
        <is>
          <t>Mr. Jagdish Panalal Gandhi</t>
        </is>
      </c>
      <c r="O35" s="1" t="n">
        <v>31021</v>
      </c>
      <c r="P35" t="n">
        <v>1416</v>
      </c>
      <c r="Q35" t="inlineStr">
        <is>
          <t>Transferred to Mr. Jagdish Panalal Gandhi on 20/03/86</t>
        </is>
      </c>
      <c r="R35" t="inlineStr">
        <is>
          <t>Transfer history read from transfer log - verify by eye (folios: 209 -&gt; 868 -&gt; 1130 -&gt; 1416; holders: Rajinder Sayal -&gt; Mr. Lait Kapoor -&gt; Jaideep Singh Mehta / Pratap Singh Mehta -&gt; Mr. Jagdish Panalal Gandhi)</t>
        </is>
      </c>
      <c r="S35" t="inlineStr">
        <is>
          <t>209 -&gt; 868 -&gt; 1130 -&gt; 1416</t>
        </is>
      </c>
      <c r="T35" t="inlineStr">
        <is>
          <t>Rajinder Sayal -&gt; Mr. Lait Kapoor -&gt; Jaideep Singh Mehta / Pratap Singh Mehta -&gt; Mr. Jagdish Panalal Gandhi</t>
        </is>
      </c>
      <c r="U35" t="inlineStr">
        <is>
          <t>2026-09-26T12:43:17+00:00</t>
        </is>
      </c>
    </row>
    <row r="36">
      <c r="A36">
        <f>HYPERLINK("non_traded\1424.pdf","1424.pdf")</f>
        <v/>
      </c>
      <c r="B36" t="inlineStr">
        <is>
          <t>No</t>
        </is>
      </c>
      <c r="C36" t="inlineStr">
        <is>
          <t>KAMANI METALS &amp; ALLOYS LTD.</t>
        </is>
      </c>
      <c r="D36" t="inlineStr">
        <is>
          <t>Ordinary</t>
        </is>
      </c>
      <c r="E36" s="3" t="n">
        <v>44197</v>
      </c>
      <c r="F36" s="3" t="n">
        <v>44197</v>
      </c>
      <c r="G36" t="n">
        <v>1421</v>
      </c>
      <c r="H36" t="inlineStr">
        <is>
          <t>KAMANI BROTHERS PRIVATE LTD.</t>
        </is>
      </c>
      <c r="I36" t="n">
        <v>25</v>
      </c>
      <c r="J36" t="n">
        <v>10</v>
      </c>
      <c r="K36" t="n">
        <v>438000</v>
      </c>
      <c r="L36" t="n">
        <v>438024</v>
      </c>
      <c r="M36" s="1" t="n">
        <v>24698</v>
      </c>
      <c r="N36" t="inlineStr">
        <is>
          <t>Mr. Vinendrakhumas Kalyanbhai Nanavaty / Ms. Yaohomal Vinendrakhumas Nanavaty / Mr. Rajesh Vinendrakhumas Nanavaty</t>
        </is>
      </c>
      <c r="O36" s="1" t="n">
        <v>26837</v>
      </c>
      <c r="P36" t="inlineStr">
        <is>
          <t>1/290</t>
        </is>
      </c>
      <c r="Q36" t="inlineStr">
        <is>
          <t>Transferred to Mr. Vinendrakhumas Kalyanbhai Nanavaty / Ms. Yaohomal Vinendrakhumas Nanavaty / Mr. Rajesh Vinendrakhumas Nanavaty on 22/06/73</t>
        </is>
      </c>
      <c r="R36" t="inlineStr">
        <is>
          <t>Transfer history read from transfer log - verify by eye (folios: 1/21 -&gt; 1/290; holders: KAMANI BROTHERS PRIVATE LTD. -&gt; Mr. Vinendrakhumas Kalyanbhai Nanavaty / Ms. Yaohomal Vinendrakhumas Nanavaty / Mr. Rajesh Vinendrakhumas Nanavaty)</t>
        </is>
      </c>
      <c r="S36" t="inlineStr">
        <is>
          <t>1/21 -&gt; 1/290</t>
        </is>
      </c>
      <c r="T36" t="inlineStr">
        <is>
          <t>KAMANI BROTHERS PRIVATE LTD. -&gt; Mr. Vinendrakhumas Kalyanbhai Nanavaty / Ms. Yaohomal Vinendrakhumas Nanavaty / Mr. Rajesh Vinendrakhumas Nanavaty</t>
        </is>
      </c>
      <c r="U36" t="inlineStr">
        <is>
          <t>2026-09-26T12:43:20+00:00</t>
        </is>
      </c>
    </row>
    <row r="37">
      <c r="A37">
        <f>HYPERLINK("non_traded\1337.pdf","1337.pdf")</f>
        <v/>
      </c>
      <c r="B37" t="inlineStr">
        <is>
          <t>Yes</t>
        </is>
      </c>
      <c r="C37" t="inlineStr">
        <is>
          <t>SWASTIK SAFE DEPOSIT &amp; INVESTMENTS LTD.</t>
        </is>
      </c>
      <c r="D37" t="inlineStr">
        <is>
          <t>Equity</t>
        </is>
      </c>
      <c r="E37" t="n">
        <v>930</v>
      </c>
      <c r="F37" t="n">
        <v>930</v>
      </c>
      <c r="G37" t="n">
        <v>1337</v>
      </c>
      <c r="H37" t="inlineStr">
        <is>
          <t>Mrs. Kokila Mulraj Anjaria</t>
        </is>
      </c>
      <c r="I37" t="n">
        <v>9</v>
      </c>
      <c r="J37" t="n">
        <v>10</v>
      </c>
      <c r="K37" t="n">
        <v>3176</v>
      </c>
      <c r="L37" t="n">
        <v>84</v>
      </c>
      <c r="M37" s="1" t="n">
        <v>30455</v>
      </c>
      <c r="N37" t="inlineStr">
        <is>
          <t>Mrs Usha Jagdish Gandhi &amp; Mr. Jadish Panalal Gandhi.</t>
        </is>
      </c>
      <c r="O37" s="1" t="n">
        <v>30455</v>
      </c>
      <c r="P37" t="inlineStr">
        <is>
          <t>B-101</t>
        </is>
      </c>
      <c r="R37" t="inlineStr">
        <is>
          <t>Distinctive range runs backwards (3176 to 84) - likely a misread digit; Transfer history read from transfer log - verify by eye (folios: 930 -&gt; B-101; holders: Mrs. Kokila Mulraj Anjaria -&gt; Mrs Usha Jagdish Gandhi &amp; Mr. Jadish Panalal Gandhi.)</t>
        </is>
      </c>
      <c r="S37" t="inlineStr">
        <is>
          <t>930 -&gt; B-101</t>
        </is>
      </c>
      <c r="T37" t="inlineStr">
        <is>
          <t>Mrs. Kokila Mulraj Anjaria -&gt; Mrs Usha Jagdish Gandhi &amp; Mr. Jadish Panalal Gandhi.</t>
        </is>
      </c>
      <c r="U37" t="inlineStr">
        <is>
          <t>2026-09-26T12:43:21+00:00</t>
        </is>
      </c>
    </row>
    <row r="38">
      <c r="A38">
        <f>HYPERLINK("non_traded\0527.pdf","0527.pdf")</f>
        <v/>
      </c>
      <c r="B38" t="inlineStr">
        <is>
          <t>No</t>
        </is>
      </c>
      <c r="C38" t="inlineStr">
        <is>
          <t>Shetty investment and finance limited</t>
        </is>
      </c>
      <c r="D38" t="inlineStr">
        <is>
          <t>Equity</t>
        </is>
      </c>
      <c r="E38" t="inlineStr">
        <is>
          <t>SIF/140</t>
        </is>
      </c>
      <c r="F38" t="inlineStr">
        <is>
          <t>SIF/140</t>
        </is>
      </c>
      <c r="G38" t="n">
        <v>527</v>
      </c>
      <c r="H38" t="inlineStr">
        <is>
          <t>Jayakrishna Private Limited</t>
        </is>
      </c>
      <c r="I38" t="n">
        <v>50</v>
      </c>
      <c r="J38" t="n">
        <v>10</v>
      </c>
      <c r="K38" t="n">
        <v>414901</v>
      </c>
      <c r="L38" t="n">
        <v>414950</v>
      </c>
      <c r="M38" s="1" t="n">
        <v>30040</v>
      </c>
      <c r="N38" t="inlineStr">
        <is>
          <t>Mr.Jagdish Panalal Gandhi / Mr.Sham Panikar</t>
        </is>
      </c>
      <c r="O38" s="1" t="n">
        <v>31488</v>
      </c>
      <c r="P38" t="n">
        <v>621</v>
      </c>
      <c r="Q38" t="inlineStr">
        <is>
          <t>Transferred to Mr.Jagdish Panalal Gandhi / Mr.Sham Panikar on 17-03-86</t>
        </is>
      </c>
      <c r="R38" t="inlineStr">
        <is>
          <t>Transfer history read from transfer log - verify by eye (folios: SIF/140 -&gt; 621; holders: Jayakrishna Private Limited -&gt; Mr.Jagdish Panalal Gandhi / Mr.Sham Panikar)</t>
        </is>
      </c>
      <c r="S38" t="inlineStr">
        <is>
          <t>SIF/140 -&gt; 621</t>
        </is>
      </c>
      <c r="T38" t="inlineStr">
        <is>
          <t>Jayakrishna Private Limited -&gt; Mr.Jagdish Panalal Gandhi / Mr.Sham Panikar</t>
        </is>
      </c>
      <c r="U38" t="inlineStr">
        <is>
          <t>2026-09-26T12:43:21+00:00</t>
        </is>
      </c>
    </row>
    <row r="39">
      <c r="A39">
        <f>HYPERLINK("non_traded\0521.pdf","0521.pdf")</f>
        <v/>
      </c>
      <c r="B39" t="inlineStr">
        <is>
          <t>No</t>
        </is>
      </c>
      <c r="C39" t="inlineStr">
        <is>
          <t>SHETTY LEASING (INDIA) LTD</t>
        </is>
      </c>
      <c r="D39" t="inlineStr">
        <is>
          <t>Equity</t>
        </is>
      </c>
      <c r="E39" t="inlineStr">
        <is>
          <t>IF/140</t>
        </is>
      </c>
      <c r="F39" t="inlineStr">
        <is>
          <t>IF/140</t>
        </is>
      </c>
      <c r="G39" t="n">
        <v>521</v>
      </c>
      <c r="H39" t="inlineStr">
        <is>
          <t>Jayakrishna Private Limited</t>
        </is>
      </c>
      <c r="I39" t="n">
        <v>50</v>
      </c>
      <c r="J39" t="n">
        <v>10</v>
      </c>
      <c r="K39" t="n">
        <v>414601</v>
      </c>
      <c r="L39" t="n">
        <v>414650</v>
      </c>
      <c r="M39" s="1" t="n">
        <v>30040</v>
      </c>
      <c r="N39" t="inlineStr">
        <is>
          <t>Mr.Jagdish Panalal Gandhi / Jtly Mr. Sham Panikar</t>
        </is>
      </c>
      <c r="O39" s="1" t="n">
        <v>31488</v>
      </c>
      <c r="P39" t="n">
        <v>621</v>
      </c>
      <c r="Q39" t="inlineStr">
        <is>
          <t>Transferred to Mr.Jagdish Panalal Gandhi / Jtly Mr. Sham Panikar on 17/03/86</t>
        </is>
      </c>
      <c r="R39" t="inlineStr">
        <is>
          <t>Transfer history read from transfer log - verify by eye (folios: IF/140 -&gt; 621; holders: Jayakrishna Private Limited -&gt; Mr.Jagdish Panalal Gandhi / Jtly Mr. Sham Panikar)</t>
        </is>
      </c>
      <c r="S39" t="inlineStr">
        <is>
          <t>IF/140 -&gt; 621</t>
        </is>
      </c>
      <c r="T39" t="inlineStr">
        <is>
          <t>Jayakrishna Private Limited -&gt; Mr.Jagdish Panalal Gandhi / Jtly Mr. Sham Panikar</t>
        </is>
      </c>
      <c r="U39" t="inlineStr">
        <is>
          <t>2026-09-26T12:44:22+00:00</t>
        </is>
      </c>
    </row>
    <row r="40">
      <c r="A40">
        <f>HYPERLINK("non_traded\0201.pdf","0201.pdf")</f>
        <v/>
      </c>
      <c r="B40" t="inlineStr">
        <is>
          <t>No</t>
        </is>
      </c>
      <c r="C40" t="inlineStr">
        <is>
          <t>Shetty investment and finance limited</t>
        </is>
      </c>
      <c r="D40" t="inlineStr">
        <is>
          <t>Equity</t>
        </is>
      </c>
      <c r="E40" t="inlineStr">
        <is>
          <t>STF/141</t>
        </is>
      </c>
      <c r="F40" t="inlineStr">
        <is>
          <t>STF/141</t>
        </is>
      </c>
      <c r="G40" t="n">
        <v>201</v>
      </c>
      <c r="H40" t="inlineStr">
        <is>
          <t>M/s. Champakal Investment &amp; Financial Consultancy Limited</t>
        </is>
      </c>
      <c r="I40" t="n">
        <v>50</v>
      </c>
      <c r="J40" t="n">
        <v>10</v>
      </c>
      <c r="K40" t="n">
        <v>415701</v>
      </c>
      <c r="L40" t="n">
        <v>415750</v>
      </c>
      <c r="M40" s="1" t="n">
        <v>30033</v>
      </c>
      <c r="N40" t="inlineStr">
        <is>
          <t>Mr. J.P. Gandhi / Jtly Mr.Mahesh I. Barodia</t>
        </is>
      </c>
      <c r="O40" s="1" t="n">
        <v>31488</v>
      </c>
      <c r="P40" t="n">
        <v>619</v>
      </c>
      <c r="Q40" t="inlineStr">
        <is>
          <t>Transferred to Mr. J.P. Gandhi / Jtly Mr.Mahesh I. Barodia on 17/03/86</t>
        </is>
      </c>
      <c r="R40" t="inlineStr">
        <is>
          <t>Transfer history read from transfer log - verify by eye (folios: STF/141 -&gt; 619; holders: M/s. Champakal Investment &amp; Financial Consultancy Limited -&gt; Mr. J.P. Gandhi / Jtly Mr.Mahesh I. Barodia)</t>
        </is>
      </c>
      <c r="S40" t="inlineStr">
        <is>
          <t>STF/141 -&gt; 619</t>
        </is>
      </c>
      <c r="T40" t="inlineStr">
        <is>
          <t>M/s. Champakal Investment &amp; Financial Consultancy Limited -&gt; Mr. J.P. Gandhi / Jtly Mr.Mahesh I. Barodia</t>
        </is>
      </c>
      <c r="U40" t="inlineStr">
        <is>
          <t>2026-09-26T12:44:47+00:00</t>
        </is>
      </c>
    </row>
    <row r="41">
      <c r="A41">
        <f>HYPERLINK("non_traded\15.pdf","15.pdf")</f>
        <v/>
      </c>
      <c r="B41" t="inlineStr">
        <is>
          <t>No</t>
        </is>
      </c>
      <c r="C41" t="inlineStr">
        <is>
          <t>MILAN INVESTMENTS PRIVATE LTD.</t>
        </is>
      </c>
      <c r="D41" t="inlineStr">
        <is>
          <t>Equity</t>
        </is>
      </c>
      <c r="E41" t="n">
        <v>6</v>
      </c>
      <c r="F41" t="n">
        <v>6</v>
      </c>
      <c r="G41" t="n">
        <v>15</v>
      </c>
      <c r="H41" t="inlineStr">
        <is>
          <t>Mr. Jagdish Panalal Gandhi / C/o. M/s. Champaklal Devidas</t>
        </is>
      </c>
      <c r="I41" t="n">
        <v>325</v>
      </c>
      <c r="J41" t="n">
        <v>10</v>
      </c>
      <c r="K41" t="n">
        <v>1876</v>
      </c>
      <c r="L41" t="n">
        <v>2200</v>
      </c>
      <c r="M41" s="1" t="n">
        <v>31769</v>
      </c>
      <c r="N41" t="inlineStr">
        <is>
          <t>Mr. Jagdish Panalal Gandhi / C/o. M/s. Champaklal Devidas</t>
        </is>
      </c>
      <c r="P41" t="n">
        <v>6</v>
      </c>
      <c r="S41" t="n">
        <v>6</v>
      </c>
      <c r="T41" t="inlineStr">
        <is>
          <t>Mr. Jagdish Panalal Gandhi / C/o. M/s. Champaklal Devidas</t>
        </is>
      </c>
      <c r="U41" t="inlineStr">
        <is>
          <t>2026-09-26T12:45:20+00:00</t>
        </is>
      </c>
    </row>
    <row r="42">
      <c r="A42">
        <f>HYPERLINK("non_traded\692.pdf","692.pdf")</f>
        <v/>
      </c>
      <c r="B42" t="inlineStr">
        <is>
          <t>No</t>
        </is>
      </c>
      <c r="C42" t="inlineStr">
        <is>
          <t>RAASI LEASING LIMITED</t>
        </is>
      </c>
      <c r="D42" t="inlineStr">
        <is>
          <t>Equity</t>
        </is>
      </c>
      <c r="E42" t="n">
        <v>281</v>
      </c>
      <c r="F42" t="n">
        <v>281</v>
      </c>
      <c r="G42" t="n">
        <v>692</v>
      </c>
      <c r="H42" t="inlineStr">
        <is>
          <t>J.SEETA RAMANJANEYULU</t>
        </is>
      </c>
      <c r="I42" t="n">
        <v>100</v>
      </c>
      <c r="J42" t="n">
        <v>10</v>
      </c>
      <c r="K42" t="n">
        <v>76701</v>
      </c>
      <c r="L42" t="n">
        <v>76800</v>
      </c>
      <c r="M42" s="1" t="n">
        <v>31021</v>
      </c>
      <c r="N42" t="inlineStr">
        <is>
          <t>JAGDISH PANALAL GANDHI</t>
        </is>
      </c>
      <c r="O42" s="1" t="n">
        <v>33136</v>
      </c>
      <c r="P42" t="inlineStr">
        <is>
          <t>D088</t>
        </is>
      </c>
      <c r="Q42" t="inlineStr">
        <is>
          <t>Transferred to HARI NARAYAN RATHI on 15/06/87 -&gt; Transferred to JAGDISH PANALAL GANDHI on 20/09/90</t>
        </is>
      </c>
      <c r="R42" t="inlineStr">
        <is>
          <t>Transfer history read from transfer log - verify by eye (folios: 281 -&gt; 078 -&gt; D088; holders: J.SEETA RAMANJANEYULU -&gt; HARI NARAYAN RATHI -&gt; JAGDISH PANALAL GANDHI)</t>
        </is>
      </c>
      <c r="S42" t="inlineStr">
        <is>
          <t>281 -&gt; 078 -&gt; D088</t>
        </is>
      </c>
      <c r="T42" t="inlineStr">
        <is>
          <t>J.SEETA RAMANJANEYULU -&gt; HARI NARAYAN RATHI -&gt; JAGDISH PANALAL GANDHI</t>
        </is>
      </c>
      <c r="U42" t="inlineStr">
        <is>
          <t>2026-09-26T12:45:24+00:00</t>
        </is>
      </c>
    </row>
    <row r="43">
      <c r="A43">
        <f>HYPERLINK("non_traded\0523.pdf","0523.pdf")</f>
        <v/>
      </c>
      <c r="B43" t="inlineStr">
        <is>
          <t>No</t>
        </is>
      </c>
      <c r="C43" t="inlineStr">
        <is>
          <t>SHETTY LEASING (INDIA) LTD.</t>
        </is>
      </c>
      <c r="D43" t="inlineStr">
        <is>
          <t>Equity</t>
        </is>
      </c>
      <c r="E43" t="inlineStr">
        <is>
          <t>SIF/140</t>
        </is>
      </c>
      <c r="F43" t="inlineStr">
        <is>
          <t>SIF/140</t>
        </is>
      </c>
      <c r="G43" t="n">
        <v>523</v>
      </c>
      <c r="H43" t="inlineStr">
        <is>
          <t>Jayakrishna Private Limited</t>
        </is>
      </c>
      <c r="I43" t="n">
        <v>50</v>
      </c>
      <c r="J43" t="n">
        <v>10</v>
      </c>
      <c r="K43" t="n">
        <v>414701</v>
      </c>
      <c r="L43" t="n">
        <v>414750</v>
      </c>
      <c r="M43" s="1" t="n">
        <v>30040</v>
      </c>
      <c r="N43" t="inlineStr">
        <is>
          <t>Mr. Jagdish Panalal Gandhi / Mr. Lalit A. Oza</t>
        </is>
      </c>
      <c r="O43" s="1" t="n">
        <v>31488</v>
      </c>
      <c r="P43" t="n">
        <v>622</v>
      </c>
      <c r="Q43" t="inlineStr">
        <is>
          <t>Transferred to Mr. Jagdish Panalal Gandhi / Mr. Lalit A. Oza on 17/03/86</t>
        </is>
      </c>
      <c r="R43" t="inlineStr">
        <is>
          <t>Transfer history read from transfer log - verify by eye (folios: SIF/140 -&gt; 622; holders: Jayakrishna Private Limited -&gt; Mr. Jagdish Panalal Gandhi / Mr. Lalit A. Oza)</t>
        </is>
      </c>
      <c r="S43" t="inlineStr">
        <is>
          <t>SIF/140 -&gt; 622</t>
        </is>
      </c>
      <c r="T43" t="inlineStr">
        <is>
          <t>Jayakrishna Private Limited -&gt; Mr. Jagdish Panalal Gandhi / Mr. Lalit A. Oza</t>
        </is>
      </c>
      <c r="U43" t="inlineStr">
        <is>
          <t>2026-09-26T12:45:54+00:00</t>
        </is>
      </c>
    </row>
    <row r="44">
      <c r="A44">
        <f>HYPERLINK("non_traded\430.pdf","430.pdf")</f>
        <v/>
      </c>
      <c r="B44" t="inlineStr">
        <is>
          <t>No</t>
        </is>
      </c>
      <c r="C44" t="inlineStr">
        <is>
          <t>RAASI LEASING LIMITED</t>
        </is>
      </c>
      <c r="D44" t="inlineStr">
        <is>
          <t>Equity</t>
        </is>
      </c>
      <c r="E44" t="n">
        <v>180</v>
      </c>
      <c r="F44" t="n">
        <v>180</v>
      </c>
      <c r="G44" t="n">
        <v>430</v>
      </c>
      <c r="H44" t="inlineStr">
        <is>
          <t>M.S. SUBRAHMANYAM RAJU</t>
        </is>
      </c>
      <c r="I44" t="n">
        <v>100</v>
      </c>
      <c r="J44" t="n">
        <v>10</v>
      </c>
      <c r="K44" t="n">
        <v>45651</v>
      </c>
      <c r="L44" t="n">
        <v>45750</v>
      </c>
      <c r="M44" s="1" t="n">
        <v>31021</v>
      </c>
      <c r="N44" t="inlineStr">
        <is>
          <t>JAGDISH P GANDHI</t>
        </is>
      </c>
      <c r="O44" s="1" t="n">
        <v>32092</v>
      </c>
      <c r="P44" t="n">
        <v>88</v>
      </c>
      <c r="Q44" t="inlineStr">
        <is>
          <t>Transferred to JAGDISH P GANDHI on 11/11/87</t>
        </is>
      </c>
      <c r="R44" t="inlineStr">
        <is>
          <t>Transfer history read from transfer log - verify by eye (folios: 180 -&gt; 88; holders: M.S. SUBRAHMANYAM RAJU -&gt; JAGDISH P GANDHI)</t>
        </is>
      </c>
      <c r="S44" t="inlineStr">
        <is>
          <t>180 -&gt; 88</t>
        </is>
      </c>
      <c r="T44" t="inlineStr">
        <is>
          <t>M.S. SUBRAHMANYAM RAJU -&gt; JAGDISH P GANDHI</t>
        </is>
      </c>
      <c r="U44" t="inlineStr">
        <is>
          <t>2026-09-26T12:47:18+00:00</t>
        </is>
      </c>
    </row>
    <row r="45">
      <c r="A45">
        <f>HYPERLINK("non_traded\431.pdf","431.pdf")</f>
        <v/>
      </c>
      <c r="B45" t="inlineStr">
        <is>
          <t>No</t>
        </is>
      </c>
      <c r="C45" t="inlineStr">
        <is>
          <t>RAASI LEASING LIMITED</t>
        </is>
      </c>
      <c r="D45" t="inlineStr">
        <is>
          <t>Equity</t>
        </is>
      </c>
      <c r="E45" t="n">
        <v>180</v>
      </c>
      <c r="F45" t="n">
        <v>180</v>
      </c>
      <c r="G45" t="n">
        <v>431</v>
      </c>
      <c r="H45" t="inlineStr">
        <is>
          <t>M. S. SUBRAHMANYAM RAJU</t>
        </is>
      </c>
      <c r="I45" t="n">
        <v>100</v>
      </c>
      <c r="J45" t="n">
        <v>10</v>
      </c>
      <c r="K45" t="n">
        <v>45751</v>
      </c>
      <c r="L45" t="n">
        <v>45850</v>
      </c>
      <c r="M45" s="1" t="n">
        <v>31021</v>
      </c>
      <c r="N45" t="inlineStr">
        <is>
          <t>JAGDISH P GANDHI</t>
        </is>
      </c>
      <c r="O45" s="1" t="n">
        <v>32092</v>
      </c>
      <c r="P45" t="n">
        <v>88</v>
      </c>
      <c r="Q45" t="inlineStr">
        <is>
          <t>Transferred to JAGDISH P GANDHI on 11/11/87</t>
        </is>
      </c>
      <c r="R45" t="inlineStr">
        <is>
          <t>Transfer history read from transfer log - verify by eye (folios: 180 -&gt; 88; holders: M. S. SUBRAHMANYAM RAJU -&gt; JAGDISH P GANDHI)</t>
        </is>
      </c>
      <c r="S45" t="inlineStr">
        <is>
          <t>180 -&gt; 88</t>
        </is>
      </c>
      <c r="T45" t="inlineStr">
        <is>
          <t>M. S. SUBRAHMANYAM RAJU -&gt; JAGDISH P GANDHI</t>
        </is>
      </c>
      <c r="U45" t="inlineStr">
        <is>
          <t>2026-09-26T12:47:25+00:00</t>
        </is>
      </c>
    </row>
    <row r="46">
      <c r="A46">
        <f>HYPERLINK("non_traded\275.pdf","275.pdf")</f>
        <v/>
      </c>
      <c r="B46" t="inlineStr">
        <is>
          <t>Yes</t>
        </is>
      </c>
      <c r="R46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46" t="inlineStr">
        <is>
          <t>2026-09-26T12:47:28+00:00</t>
        </is>
      </c>
    </row>
    <row r="47">
      <c r="A47">
        <f>HYPERLINK("non_traded\321.pdf","321.pdf")</f>
        <v/>
      </c>
      <c r="B47" t="inlineStr">
        <is>
          <t>No</t>
        </is>
      </c>
      <c r="C47" t="inlineStr">
        <is>
          <t>S &amp; S POWER SWITCHGEAR LTD.</t>
        </is>
      </c>
      <c r="D47" t="inlineStr">
        <is>
          <t>Equity</t>
        </is>
      </c>
      <c r="E47" t="n">
        <v>56</v>
      </c>
      <c r="F47" t="n">
        <v>56</v>
      </c>
      <c r="G47" t="n">
        <v>321</v>
      </c>
      <c r="H47" t="inlineStr">
        <is>
          <t>Union Bank of India</t>
        </is>
      </c>
      <c r="I47" t="n">
        <v>50</v>
      </c>
      <c r="J47" t="n">
        <v>10</v>
      </c>
      <c r="K47" t="n">
        <v>138701</v>
      </c>
      <c r="L47" t="n">
        <v>138750</v>
      </c>
      <c r="M47" s="1" t="n">
        <v>29745</v>
      </c>
      <c r="N47" t="inlineStr">
        <is>
          <t>Mr.Jagdish Pandal Gandhi / Mr.Jamal U.H.Shah</t>
        </is>
      </c>
      <c r="O47" s="1" t="n">
        <v>30724</v>
      </c>
      <c r="P47" t="n">
        <v>131</v>
      </c>
      <c r="Q47" t="inlineStr">
        <is>
          <t>Transferred to Mr.Jagdish Pandal Gandhi / Mr.Jamal U.H.Shah on 12/02/1984</t>
        </is>
      </c>
      <c r="R47" t="inlineStr">
        <is>
          <t>Transfer history read from transfer log - verify by eye (folios: 56 -&gt; 131; holders: Union Bank of India -&gt; Mr.Jagdish Pandal Gandhi / Mr.Jamal U.H.Shah)</t>
        </is>
      </c>
      <c r="S47" t="inlineStr">
        <is>
          <t>56 -&gt; 131</t>
        </is>
      </c>
      <c r="T47" t="inlineStr">
        <is>
          <t>Union Bank of India -&gt; Mr.Jagdish Pandal Gandhi / Mr.Jamal U.H.Shah</t>
        </is>
      </c>
      <c r="U47" t="inlineStr">
        <is>
          <t>2026-09-26T12:47:29+00:00</t>
        </is>
      </c>
    </row>
    <row r="48">
      <c r="A48">
        <f>HYPERLINK("non_traded\434.pdf","434.pdf")</f>
        <v/>
      </c>
      <c r="B48" t="inlineStr">
        <is>
          <t>Yes</t>
        </is>
      </c>
      <c r="C48" t="inlineStr">
        <is>
          <t>RAASI LEASING LIMITED</t>
        </is>
      </c>
      <c r="D48" t="inlineStr">
        <is>
          <t>Equity</t>
        </is>
      </c>
      <c r="E48" t="n">
        <v>180</v>
      </c>
      <c r="F48" t="n">
        <v>180</v>
      </c>
      <c r="G48" t="n">
        <v>434</v>
      </c>
      <c r="H48" t="inlineStr">
        <is>
          <t>H. S. SUJARAHANYAN RAJU</t>
        </is>
      </c>
      <c r="I48" t="n">
        <v>100</v>
      </c>
      <c r="J48" t="n">
        <v>10</v>
      </c>
      <c r="K48" t="n">
        <v>45051</v>
      </c>
      <c r="L48" t="n">
        <v>46550</v>
      </c>
      <c r="M48" s="1" t="n">
        <v>31021</v>
      </c>
      <c r="N48" t="inlineStr">
        <is>
          <t>JAGDISH P GANDHI</t>
        </is>
      </c>
      <c r="O48" s="1" t="n">
        <v>32092</v>
      </c>
      <c r="P48" t="n">
        <v>88</v>
      </c>
      <c r="Q48" t="inlineStr">
        <is>
          <t>Transferred to JAGDISH P GANDHI on 11/11/87</t>
        </is>
      </c>
      <c r="R48" t="inlineStr">
        <is>
          <t>Share count 100 != distinctive span 1500; Transfer history read from transfer log - verify by eye (folios: 180 -&gt; 88; holders: H. S. SUJARAHANYAN RAJU -&gt; JAGDISH P GANDHI)</t>
        </is>
      </c>
      <c r="S48" t="inlineStr">
        <is>
          <t>180 -&gt; 88</t>
        </is>
      </c>
      <c r="T48" t="inlineStr">
        <is>
          <t>H. S. SUJARAHANYAN RAJU -&gt; JAGDISH P GANDHI</t>
        </is>
      </c>
      <c r="U48" t="inlineStr">
        <is>
          <t>2026-09-26T12:47:30+00:00</t>
        </is>
      </c>
    </row>
    <row r="49">
      <c r="A49">
        <f>HYPERLINK("non_traded\0720.pdf","0720.pdf")</f>
        <v/>
      </c>
      <c r="B49" t="inlineStr">
        <is>
          <t>No</t>
        </is>
      </c>
      <c r="C49" t="inlineStr">
        <is>
          <t>Gateway Chemists Limited</t>
        </is>
      </c>
      <c r="D49" t="inlineStr">
        <is>
          <t>Equity</t>
        </is>
      </c>
      <c r="E49" t="inlineStr">
        <is>
          <t>GC-0029</t>
        </is>
      </c>
      <c r="F49" t="inlineStr">
        <is>
          <t>GC-0029</t>
        </is>
      </c>
      <c r="G49" t="n">
        <v>0.07199999999999999</v>
      </c>
      <c r="H49" t="inlineStr">
        <is>
          <t>Mr. Jagdish Panalal Gandhi / Mrs. Usha Jagdish Gandhi</t>
        </is>
      </c>
      <c r="I49" t="n">
        <v>50</v>
      </c>
      <c r="J49" t="n">
        <v>10</v>
      </c>
      <c r="K49" t="n">
        <v>35451</v>
      </c>
      <c r="L49" t="n">
        <v>35500</v>
      </c>
      <c r="M49" s="1" t="n">
        <v>29029</v>
      </c>
      <c r="N49" t="inlineStr">
        <is>
          <t>Mr. Jagdish Panalal Gandhi / Mrs. Usha Jagdish Gandhi</t>
        </is>
      </c>
      <c r="P49" t="inlineStr">
        <is>
          <t>GC-0029</t>
        </is>
      </c>
      <c r="S49" t="inlineStr">
        <is>
          <t>GC-0029</t>
        </is>
      </c>
      <c r="T49" t="inlineStr">
        <is>
          <t>Mr. Jagdish Panalal Gandhi / Mrs. Usha Jagdish Gandhi</t>
        </is>
      </c>
      <c r="U49" t="inlineStr">
        <is>
          <t>2026-09-26T12:47:33+00:00</t>
        </is>
      </c>
    </row>
    <row r="50">
      <c r="A50">
        <f>HYPERLINK("non_traded\218.pdf","218.pdf")</f>
        <v/>
      </c>
      <c r="B50" t="inlineStr">
        <is>
          <t>Yes</t>
        </is>
      </c>
      <c r="R50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50" t="inlineStr">
        <is>
          <t>2026-09-26T12:48:02+00:00</t>
        </is>
      </c>
    </row>
    <row r="51">
      <c r="A51">
        <f>HYPERLINK("non_traded\0725.pdf","0725.pdf")</f>
        <v/>
      </c>
      <c r="B51" t="inlineStr">
        <is>
          <t>Yes</t>
        </is>
      </c>
      <c r="R51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1" t="inlineStr">
        <is>
          <t>2026-09-26T12:48:03+00:00</t>
        </is>
      </c>
    </row>
    <row r="52">
      <c r="A52">
        <f>HYPERLINK("non_traded\1341.pdf","1341.pdf")</f>
        <v/>
      </c>
      <c r="B52" t="inlineStr">
        <is>
          <t>No</t>
        </is>
      </c>
      <c r="C52" t="inlineStr">
        <is>
          <t>BELL GRAPHIC RECORDING CHARTS LIMITED</t>
        </is>
      </c>
      <c r="D52" t="inlineStr">
        <is>
          <t>Equity</t>
        </is>
      </c>
      <c r="E52" t="n">
        <v>1341</v>
      </c>
      <c r="F52" t="n">
        <v>1341</v>
      </c>
      <c r="G52" t="n">
        <v>1341</v>
      </c>
      <c r="H52" t="inlineStr">
        <is>
          <t>Mr. Dara Hoshang Vevaina / Mrs. Perviz Dara Vevaina</t>
        </is>
      </c>
      <c r="I52" t="n">
        <v>10</v>
      </c>
      <c r="J52" t="n">
        <v>10</v>
      </c>
      <c r="K52" t="n">
        <v>13461</v>
      </c>
      <c r="L52" t="n">
        <v>13470</v>
      </c>
      <c r="M52" s="1" t="n">
        <v>25503</v>
      </c>
      <c r="N52" t="inlineStr">
        <is>
          <t>Mr. Jagdish Panalal Gandhi</t>
        </is>
      </c>
      <c r="O52" s="1" t="n">
        <v>26138</v>
      </c>
      <c r="P52" t="inlineStr">
        <is>
          <t>G/1019</t>
        </is>
      </c>
      <c r="Q52" t="inlineStr">
        <is>
          <t>Transferred to Mr. Vijay Chintaman Joshi on 18/11/70 -&gt; Transferred to Mr. Jagdish Panalal Gandhi on 24/07/71</t>
        </is>
      </c>
      <c r="R52" t="inlineStr">
        <is>
          <t>Transfer history read from transfer log - verify by eye (folios: 1341 -&gt; J/1281 -&gt; G/1019; holders: Mr. Dara Hoshang Vevaina / Mrs. Perviz Dara Vevaina -&gt; Mr. Vijay Chintaman Joshi -&gt; Mr. Jagdish Panalal Gandhi)</t>
        </is>
      </c>
      <c r="S52" t="inlineStr">
        <is>
          <t>1341 -&gt; J/1281 -&gt; G/1019</t>
        </is>
      </c>
      <c r="T52" t="inlineStr">
        <is>
          <t>Mr. Dara Hoshang Vevaina / Mrs. Perviz Dara Vevaina -&gt; Mr. Vijay Chintaman Joshi -&gt; Mr. Jagdish Panalal Gandhi</t>
        </is>
      </c>
      <c r="U52" t="inlineStr">
        <is>
          <t>2026-09-26T12:48:27+00:00</t>
        </is>
      </c>
    </row>
    <row r="53">
      <c r="A53">
        <f>HYPERLINK("non_traded\42.pdf","42.pdf")</f>
        <v/>
      </c>
      <c r="B53" t="inlineStr">
        <is>
          <t>Yes</t>
        </is>
      </c>
      <c r="R53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53" t="inlineStr">
        <is>
          <t>2026-09-26T12:48:28+00:00</t>
        </is>
      </c>
    </row>
    <row r="54">
      <c r="A54">
        <f>HYPERLINK("non_traded\0250.pdf","0250.pdf")</f>
        <v/>
      </c>
      <c r="B54" t="inlineStr">
        <is>
          <t>No</t>
        </is>
      </c>
      <c r="C54" t="inlineStr">
        <is>
          <t>MADRAS MOTOR FINANCE AND GUARANTEE COMPANY LIMITED</t>
        </is>
      </c>
      <c r="D54" t="inlineStr">
        <is>
          <t>Equity</t>
        </is>
      </c>
      <c r="E54" t="n">
        <v>250</v>
      </c>
      <c r="F54" t="n">
        <v>250</v>
      </c>
      <c r="G54" t="n">
        <v>250</v>
      </c>
      <c r="H54" t="inlineStr">
        <is>
          <t>Mr. J.P. GANDHI.</t>
        </is>
      </c>
      <c r="I54" t="n">
        <v>100</v>
      </c>
      <c r="J54" t="n">
        <v>10</v>
      </c>
      <c r="K54" t="n">
        <v>451</v>
      </c>
      <c r="L54" t="n">
        <v>550</v>
      </c>
      <c r="M54" s="1" t="n">
        <v>28455</v>
      </c>
      <c r="N54" t="inlineStr">
        <is>
          <t>Mr. J.P. GANDHI.</t>
        </is>
      </c>
      <c r="P54" t="n">
        <v>250</v>
      </c>
      <c r="S54" t="n">
        <v>250</v>
      </c>
      <c r="T54" t="inlineStr">
        <is>
          <t>Mr. J.P. GANDHI.</t>
        </is>
      </c>
      <c r="U54" t="inlineStr">
        <is>
          <t>2026-09-26T12:48:48+00:00</t>
        </is>
      </c>
    </row>
    <row r="55">
      <c r="A55">
        <f>HYPERLINK("non_traded\652.pdf","652.pdf")</f>
        <v/>
      </c>
      <c r="B55" t="inlineStr">
        <is>
          <t>No</t>
        </is>
      </c>
      <c r="C55" t="inlineStr">
        <is>
          <t>THE MYSORE KIRLOSKAR LIMITED</t>
        </is>
      </c>
      <c r="D55" t="inlineStr">
        <is>
          <t>Preference</t>
        </is>
      </c>
      <c r="E55" t="inlineStr">
        <is>
          <t>P 28340</t>
        </is>
      </c>
      <c r="F55" t="inlineStr">
        <is>
          <t>P 28340</t>
        </is>
      </c>
      <c r="G55" t="n">
        <v>652</v>
      </c>
      <c r="H55" t="inlineStr">
        <is>
          <t>Mr. Ralph D. Binns &amp; Mrs. Violet Ann Binns</t>
        </is>
      </c>
      <c r="I55" t="n">
        <v>1</v>
      </c>
      <c r="J55" t="n">
        <v>100</v>
      </c>
      <c r="K55" t="n">
        <v>1</v>
      </c>
      <c r="L55" t="n">
        <v>1</v>
      </c>
      <c r="M55" s="1" t="n">
        <v>24077</v>
      </c>
      <c r="N55" t="inlineStr">
        <is>
          <t>Shri Jagdish Panalal Gandhi</t>
        </is>
      </c>
      <c r="O55" s="1" t="n">
        <v>32340</v>
      </c>
      <c r="P55" t="inlineStr">
        <is>
          <t>P/128</t>
        </is>
      </c>
      <c r="Q55" t="inlineStr">
        <is>
          <t>Transferred to Shri Jagdish Panalal Gandhi on 16/07/88</t>
        </is>
      </c>
      <c r="R55" t="inlineStr">
        <is>
          <t>Transfer history read from transfer log - verify by eye (folios: P 28340 -&gt; P/128; holders: Mr. Ralph D. Binns &amp; Mrs. Violet Ann Binns -&gt; Shri Jagdish Panalal Gandhi)</t>
        </is>
      </c>
      <c r="S55" t="inlineStr">
        <is>
          <t>P 28340 -&gt; P/128</t>
        </is>
      </c>
      <c r="T55" t="inlineStr">
        <is>
          <t>Mr. Ralph D. Binns &amp; Mrs. Violet Ann Binns -&gt; Shri Jagdish Panalal Gandhi</t>
        </is>
      </c>
      <c r="U55" t="inlineStr">
        <is>
          <t>2026-09-26T12:49:05+00:00</t>
        </is>
      </c>
    </row>
    <row r="56">
      <c r="A56">
        <f>HYPERLINK("non_traded\669.pdf","669.pdf")</f>
        <v/>
      </c>
      <c r="B56" t="inlineStr">
        <is>
          <t>Yes</t>
        </is>
      </c>
      <c r="R56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6" t="inlineStr">
        <is>
          <t>2026-09-26T12:49:40+00:00</t>
        </is>
      </c>
    </row>
    <row r="57">
      <c r="A57">
        <f>HYPERLINK("non_traded\1380.pdf","1380.pdf")</f>
        <v/>
      </c>
      <c r="B57" t="inlineStr">
        <is>
          <t>No</t>
        </is>
      </c>
      <c r="C57" t="inlineStr">
        <is>
          <t>RAASI LEASING LIMITED</t>
        </is>
      </c>
      <c r="D57" t="inlineStr">
        <is>
          <t>Equity</t>
        </is>
      </c>
      <c r="E57" t="n">
        <v>463</v>
      </c>
      <c r="F57" t="n">
        <v>463</v>
      </c>
      <c r="G57" t="n">
        <v>1380</v>
      </c>
      <c r="H57" t="inlineStr">
        <is>
          <t>MANDAPATI RAMACHANDRA RAJU</t>
        </is>
      </c>
      <c r="I57" t="n">
        <v>100</v>
      </c>
      <c r="J57" t="n">
        <v>10</v>
      </c>
      <c r="K57" t="n">
        <v>225001</v>
      </c>
      <c r="L57" t="n">
        <v>225100</v>
      </c>
      <c r="M57" s="1" t="n">
        <v>31317</v>
      </c>
      <c r="N57" t="inlineStr">
        <is>
          <t>JAGDISH PANALAL GANDHI</t>
        </is>
      </c>
      <c r="O57" s="1" t="n">
        <v>33136</v>
      </c>
      <c r="P57" t="inlineStr">
        <is>
          <t>D088</t>
        </is>
      </c>
      <c r="Q57" t="inlineStr">
        <is>
          <t>Transferred to HARI NARAYAN RATHI on 15/06/1987 -&gt; Transferred to JAGDISH PANALAL GANDHI on 20/09/1990</t>
        </is>
      </c>
      <c r="R57" t="inlineStr">
        <is>
          <t>Transfer history read from transfer log - verify by eye (folios: 463 -&gt; 78 -&gt; D088; holders: MANDAPATI RAMACHANDRA RAJU -&gt; HARI NARAYAN RATHI -&gt; JAGDISH PANALAL GANDHI)</t>
        </is>
      </c>
      <c r="S57" t="inlineStr">
        <is>
          <t>463 -&gt; 78 -&gt; D088</t>
        </is>
      </c>
      <c r="T57" t="inlineStr">
        <is>
          <t>MANDAPATI RAMACHANDRA RAJU -&gt; HARI NARAYAN RATHI -&gt; JAGDISH PANALAL GANDHI</t>
        </is>
      </c>
      <c r="U57" t="inlineStr">
        <is>
          <t>2026-09-26T12:49:45+00:00</t>
        </is>
      </c>
    </row>
    <row r="58">
      <c r="A58">
        <f>HYPERLINK("non_traded\0524.pdf","0524.pdf")</f>
        <v/>
      </c>
      <c r="B58" t="inlineStr">
        <is>
          <t>Yes</t>
        </is>
      </c>
      <c r="R58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58" t="inlineStr">
        <is>
          <t>2026-09-26T12:49:53+00:00</t>
        </is>
      </c>
    </row>
    <row r="59">
      <c r="A59">
        <f>HYPERLINK("non_traded\0727.pdf","0727.pdf")</f>
        <v/>
      </c>
      <c r="B59" t="inlineStr">
        <is>
          <t>No</t>
        </is>
      </c>
      <c r="C59" t="inlineStr">
        <is>
          <t>Gateway Chemists Limited</t>
        </is>
      </c>
      <c r="D59" t="inlineStr">
        <is>
          <t>Equity</t>
        </is>
      </c>
      <c r="E59" t="inlineStr">
        <is>
          <t>GC-0029</t>
        </is>
      </c>
      <c r="F59" t="inlineStr">
        <is>
          <t>GC-0029</t>
        </is>
      </c>
      <c r="G59" t="n">
        <v>727</v>
      </c>
      <c r="H59" t="inlineStr">
        <is>
          <t>Mr. Jagdish Panalal Gandhi / Jtly. Mrs. Usha Jagdish Gandhi</t>
        </is>
      </c>
      <c r="I59" t="n">
        <v>50</v>
      </c>
      <c r="J59" t="n">
        <v>10</v>
      </c>
      <c r="K59" t="n">
        <v>35801</v>
      </c>
      <c r="L59" t="n">
        <v>35850</v>
      </c>
      <c r="M59" s="1" t="n">
        <v>29029</v>
      </c>
      <c r="N59" t="inlineStr">
        <is>
          <t>Mr. Jagdish Panalal Gandhi / Jtly. Mrs. Usha Jagdish Gandhi</t>
        </is>
      </c>
      <c r="P59" t="inlineStr">
        <is>
          <t>GC-0029</t>
        </is>
      </c>
      <c r="S59" t="inlineStr">
        <is>
          <t>GC-0029</t>
        </is>
      </c>
      <c r="T59" t="inlineStr">
        <is>
          <t>Mr. Jagdish Panalal Gandhi / Jtly. Mrs. Usha Jagdish Gandhi</t>
        </is>
      </c>
      <c r="U59" t="inlineStr">
        <is>
          <t>2026-09-26T12:50:19+00:00</t>
        </is>
      </c>
    </row>
    <row r="60">
      <c r="A60">
        <f>HYPERLINK("non_traded\1461.pdf","1461.pdf")</f>
        <v/>
      </c>
      <c r="B60" t="inlineStr">
        <is>
          <t>Yes</t>
        </is>
      </c>
      <c r="R60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60" t="inlineStr">
        <is>
          <t>2026-09-26T12:50:35+00:00</t>
        </is>
      </c>
    </row>
    <row r="61">
      <c r="A61">
        <f>HYPERLINK("non_traded\1343.pdf","1343.pdf")</f>
        <v/>
      </c>
      <c r="B61" t="inlineStr">
        <is>
          <t>No</t>
        </is>
      </c>
      <c r="C61" t="inlineStr">
        <is>
          <t>BELL GRAPHIC RECORDING CHARTS LIMITED</t>
        </is>
      </c>
      <c r="D61" t="inlineStr">
        <is>
          <t>Equity</t>
        </is>
      </c>
      <c r="E61" t="n">
        <v>13481</v>
      </c>
      <c r="F61" t="n">
        <v>13481</v>
      </c>
      <c r="G61" t="n">
        <v>1343</v>
      </c>
      <c r="H61" t="inlineStr">
        <is>
          <t>Dr. Daro Hoshang Veveina / Mrs. Porviz Daro Veveina</t>
        </is>
      </c>
      <c r="I61" t="n">
        <v>10</v>
      </c>
      <c r="J61" t="n">
        <v>10</v>
      </c>
      <c r="K61" t="n">
        <v>1339</v>
      </c>
      <c r="L61" t="n">
        <v>1348</v>
      </c>
      <c r="M61" s="1" t="n">
        <v>25503</v>
      </c>
      <c r="N61" t="inlineStr">
        <is>
          <t>Mr. Jagdish Panalal Gandhi</t>
        </is>
      </c>
      <c r="O61" s="1" t="n">
        <v>26138</v>
      </c>
      <c r="P61" t="inlineStr">
        <is>
          <t>G/1019</t>
        </is>
      </c>
      <c r="Q61" t="inlineStr">
        <is>
          <t>Transferred to Mr. Jagdish Panalal Gandhi on 24/07/1971</t>
        </is>
      </c>
      <c r="R61" t="inlineStr">
        <is>
          <t>Transfer history read from transfer log - verify by eye (folios: 13481 -&gt; J/1881 -&gt; G/1019; holders: Dr. Daro Hoshang Veveina / Mrs. Porviz Daro Veveina -&gt; Mr. Vijay Chintaman Joshi -&gt; Mr. Jagdish Panalal Gandhi)</t>
        </is>
      </c>
      <c r="S61" t="inlineStr">
        <is>
          <t>13481 -&gt; J/1881 -&gt; G/1019</t>
        </is>
      </c>
      <c r="T61" t="inlineStr">
        <is>
          <t>Dr. Daro Hoshang Veveina / Mrs. Porviz Daro Veveina -&gt; Mr. Vijay Chintaman Joshi -&gt; Mr. Jagdish Panalal Gandhi</t>
        </is>
      </c>
      <c r="U61" t="inlineStr">
        <is>
          <t>2026-09-26T12:50:50+00:00</t>
        </is>
      </c>
    </row>
    <row r="62">
      <c r="A62">
        <f>HYPERLINK("non_traded\432.pdf","432.pdf")</f>
        <v/>
      </c>
      <c r="B62" t="inlineStr">
        <is>
          <t>Yes</t>
        </is>
      </c>
      <c r="R62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62" t="inlineStr">
        <is>
          <t>2026-09-26T12:50:52+00:00</t>
        </is>
      </c>
    </row>
    <row r="63">
      <c r="A63">
        <f>HYPERLINK("non_traded\476.pdf","476.pdf")</f>
        <v/>
      </c>
      <c r="B63" t="inlineStr">
        <is>
          <t>No</t>
        </is>
      </c>
      <c r="C63" t="inlineStr">
        <is>
          <t>KAMANI METALS &amp; ALLOYS LTD.</t>
        </is>
      </c>
      <c r="D63" t="inlineStr">
        <is>
          <t>Ordinary</t>
        </is>
      </c>
      <c r="E63" t="n">
        <v>181</v>
      </c>
      <c r="F63" t="n">
        <v>181</v>
      </c>
      <c r="G63" t="n">
        <v>472</v>
      </c>
      <c r="H63" t="inlineStr">
        <is>
          <t>KAMANI BROTHERS PRIVATE LTD.</t>
        </is>
      </c>
      <c r="I63" t="n">
        <v>25</v>
      </c>
      <c r="J63" t="n">
        <v>10</v>
      </c>
      <c r="K63" t="n">
        <v>1863752</v>
      </c>
      <c r="L63" t="n">
        <v>1863776</v>
      </c>
      <c r="M63" s="1" t="n">
        <v>24698</v>
      </c>
      <c r="N63" t="inlineStr">
        <is>
          <t>Shri JAGDISH P. GANDHI</t>
        </is>
      </c>
      <c r="O63" s="1" t="n">
        <v>29137</v>
      </c>
      <c r="P63" s="3" t="n">
        <v>51167</v>
      </c>
      <c r="Q63" t="inlineStr">
        <is>
          <t>Transferred to Shri JAGDISH P. GANDHI on 09/10/79</t>
        </is>
      </c>
      <c r="R63" t="inlineStr">
        <is>
          <t>Transfer history read from transfer log - verify by eye (folios: 0181 -&gt; 2/40; holders: KAMANI BROTHERS PRIVATE LTD. -&gt; Shri JAGDISH P. GANDHI)</t>
        </is>
      </c>
      <c r="S63" t="inlineStr">
        <is>
          <t>0181 -&gt; 2/40</t>
        </is>
      </c>
      <c r="T63" t="inlineStr">
        <is>
          <t>KAMANI BROTHERS PRIVATE LTD. -&gt; Shri JAGDISH P. GANDHI</t>
        </is>
      </c>
      <c r="U63" t="inlineStr">
        <is>
          <t>2026-09-26T12:50:54+00:00</t>
        </is>
      </c>
    </row>
    <row r="64">
      <c r="A64">
        <f>HYPERLINK("non_traded\814.pdf","814.pdf")</f>
        <v/>
      </c>
      <c r="B64" t="inlineStr">
        <is>
          <t>No</t>
        </is>
      </c>
      <c r="C64" t="inlineStr">
        <is>
          <t>Indu Nissan Oxo Chemical Industries Limited</t>
        </is>
      </c>
      <c r="D64" t="inlineStr">
        <is>
          <t>Redeemable Preference</t>
        </is>
      </c>
      <c r="E64" t="inlineStr">
        <is>
          <t>IN 200814</t>
        </is>
      </c>
      <c r="F64" t="inlineStr">
        <is>
          <t>IN 200814</t>
        </is>
      </c>
      <c r="G64" t="n">
        <v>814</v>
      </c>
      <c r="H64" t="inlineStr">
        <is>
          <t>JAGDISH PANALAL GANDHI</t>
        </is>
      </c>
      <c r="I64" t="n">
        <v>5</v>
      </c>
      <c r="J64" t="n">
        <v>100</v>
      </c>
      <c r="K64" t="n">
        <v>20675</v>
      </c>
      <c r="L64" t="n">
        <v>20679</v>
      </c>
      <c r="M64" s="1" t="n">
        <v>32674</v>
      </c>
      <c r="N64" t="inlineStr">
        <is>
          <t>JAGDISH PANALAL GANDHI</t>
        </is>
      </c>
      <c r="P64" t="inlineStr">
        <is>
          <t>IN 200814</t>
        </is>
      </c>
      <c r="S64" t="inlineStr">
        <is>
          <t>IN 200814</t>
        </is>
      </c>
      <c r="T64" t="inlineStr">
        <is>
          <t>JAGDISH PANALAL GANDHI</t>
        </is>
      </c>
      <c r="U64" t="inlineStr">
        <is>
          <t>2026-09-26T12:51:49+00:00</t>
        </is>
      </c>
    </row>
    <row r="65">
      <c r="A65">
        <f>HYPERLINK("non_traded\474.pdf","474.pdf")</f>
        <v/>
      </c>
      <c r="B65" t="inlineStr">
        <is>
          <t>Yes</t>
        </is>
      </c>
      <c r="C65" t="inlineStr">
        <is>
          <t>KAMANI METALS &amp; ALLOYS LTD.</t>
        </is>
      </c>
      <c r="D65" t="inlineStr">
        <is>
          <t>Ordinary</t>
        </is>
      </c>
      <c r="E65" t="n">
        <v>171</v>
      </c>
      <c r="F65" t="n">
        <v>171</v>
      </c>
      <c r="H65" t="inlineStr">
        <is>
          <t>KAMANI BROTHERS PRIVATE LTD.</t>
        </is>
      </c>
      <c r="I65" t="n">
        <v>25</v>
      </c>
      <c r="J65" t="n">
        <v>10</v>
      </c>
      <c r="K65" t="n">
        <v>1863755</v>
      </c>
      <c r="L65" t="n">
        <v>1863779</v>
      </c>
      <c r="M65" s="1" t="n">
        <v>24698</v>
      </c>
      <c r="N65" t="inlineStr">
        <is>
          <t>Shri JAGDISH P. GANDHI</t>
        </is>
      </c>
      <c r="O65" s="1" t="n">
        <v>29129</v>
      </c>
      <c r="Q65" t="inlineStr">
        <is>
          <t>Transferred to Shri K. Pandya on 01/10/79</t>
        </is>
      </c>
      <c r="R65" t="inlineStr">
        <is>
          <t>Missing certificate_no; Transfer history read from transfer log - verify by eye (folios: 000171; holders: KAMANI BROTHERS PRIVATE LTD. -&gt; Shri K. Pandya -&gt; Shri JAGDISH P. GANDHI); Folio history has 1 entries but holder history has 3 - a transfer row's folio or name was dropped</t>
        </is>
      </c>
      <c r="S65" t="n">
        <v>171</v>
      </c>
      <c r="T65" t="inlineStr">
        <is>
          <t>KAMANI BROTHERS PRIVATE LTD. -&gt; Shri K. Pandya -&gt; Shri JAGDISH P. GANDHI</t>
        </is>
      </c>
      <c r="U65" t="inlineStr">
        <is>
          <t>2026-09-26T12:52:01+00:00</t>
        </is>
      </c>
    </row>
    <row r="66">
      <c r="A66">
        <f>HYPERLINK("non_traded\1089.pdf","1089.pdf")</f>
        <v/>
      </c>
      <c r="B66" t="inlineStr">
        <is>
          <t>No</t>
        </is>
      </c>
      <c r="C66" t="inlineStr">
        <is>
          <t>Shetty investment and finance limited</t>
        </is>
      </c>
      <c r="D66" t="inlineStr">
        <is>
          <t>Equity</t>
        </is>
      </c>
      <c r="E66" t="inlineStr">
        <is>
          <t>SIF/384</t>
        </is>
      </c>
      <c r="F66" t="inlineStr">
        <is>
          <t>SIF/384</t>
        </is>
      </c>
      <c r="G66" t="n">
        <v>1089</v>
      </c>
      <c r="H66" t="inlineStr">
        <is>
          <t>Mr. Haroor Dayanand Shetty</t>
        </is>
      </c>
      <c r="I66" t="n">
        <v>50</v>
      </c>
      <c r="J66" t="n">
        <v>10</v>
      </c>
      <c r="K66" t="n">
        <v>487751</v>
      </c>
      <c r="L66" t="n">
        <v>487800</v>
      </c>
      <c r="M66" s="1" t="n">
        <v>30963</v>
      </c>
      <c r="N66" t="inlineStr">
        <is>
          <t>Mr. Jagdish Panalal Gandhi</t>
        </is>
      </c>
      <c r="O66" s="1" t="n">
        <v>31822</v>
      </c>
      <c r="P66" t="n">
        <v>706</v>
      </c>
      <c r="Q66" t="inlineStr">
        <is>
          <t>Transferred to Mr. Jagdish Panalal Gandhi on 14/02/87</t>
        </is>
      </c>
      <c r="R66" t="inlineStr">
        <is>
          <t>Transfer history read from transfer log - verify by eye (folios: SIF/384 -&gt; 515 -&gt; 706; holders: Mr. Haroor Dayanand Shetty -&gt; Mr. Sudhir Nadig -&gt; Mr. Jagdish Panalal Gandhi)</t>
        </is>
      </c>
      <c r="S66" t="inlineStr">
        <is>
          <t>SIF/384 -&gt; 515 -&gt; 706</t>
        </is>
      </c>
      <c r="T66" t="inlineStr">
        <is>
          <t>Mr. Haroor Dayanand Shetty -&gt; Mr. Sudhir Nadig -&gt; Mr. Jagdish Panalal Gandhi</t>
        </is>
      </c>
      <c r="U66" t="inlineStr">
        <is>
          <t>2026-09-26T12:52:19+00:00</t>
        </is>
      </c>
    </row>
    <row r="67">
      <c r="A67">
        <f>HYPERLINK("non_traded\267.pdf","267.pdf")</f>
        <v/>
      </c>
      <c r="B67" t="inlineStr">
        <is>
          <t>No</t>
        </is>
      </c>
      <c r="C67" t="inlineStr">
        <is>
          <t>RAASI LEASING LIMITED</t>
        </is>
      </c>
      <c r="D67" t="inlineStr">
        <is>
          <t>Equity</t>
        </is>
      </c>
      <c r="E67" t="n">
        <v>105</v>
      </c>
      <c r="F67" t="n">
        <v>105</v>
      </c>
      <c r="G67" t="n">
        <v>267</v>
      </c>
      <c r="H67" t="inlineStr">
        <is>
          <t>SMT. Y. MANJULA</t>
        </is>
      </c>
      <c r="I67" t="n">
        <v>100</v>
      </c>
      <c r="J67" t="n">
        <v>10</v>
      </c>
      <c r="K67" t="n">
        <v>29401</v>
      </c>
      <c r="L67" t="n">
        <v>29500</v>
      </c>
      <c r="M67" s="1" t="n">
        <v>31021</v>
      </c>
      <c r="N67" t="inlineStr">
        <is>
          <t>JAGDISH PANALAL GANDHI</t>
        </is>
      </c>
      <c r="O67" s="1" t="n">
        <v>33136</v>
      </c>
      <c r="P67" t="inlineStr">
        <is>
          <t>D008</t>
        </is>
      </c>
      <c r="Q67" t="inlineStr">
        <is>
          <t>Transferred to HARI NARAYAN RATHI on 15/06/87 -&gt; Transferred to JAGDISH PANALAL GANDHI on 20/09/90</t>
        </is>
      </c>
      <c r="R67" t="inlineStr">
        <is>
          <t>Transfer history read from transfer log - verify by eye (folios: 105 -&gt; 78 -&gt; D008; holders: SMT. Y. MANJULA -&gt; HARI NARAYAN RATHI -&gt; JAGDISH PANALAL GANDHI)</t>
        </is>
      </c>
      <c r="S67" t="inlineStr">
        <is>
          <t>105 -&gt; 78 -&gt; D008</t>
        </is>
      </c>
      <c r="T67" t="inlineStr">
        <is>
          <t>SMT. Y. MANJULA -&gt; HARI NARAYAN RATHI -&gt; JAGDISH PANALAL GANDHI</t>
        </is>
      </c>
      <c r="U67" t="inlineStr">
        <is>
          <t>2026-09-26T12:52:20+00:00</t>
        </is>
      </c>
    </row>
    <row r="68">
      <c r="A68">
        <f>HYPERLINK("non_traded\788.pdf","788.pdf")</f>
        <v/>
      </c>
      <c r="B68" t="inlineStr">
        <is>
          <t>Yes</t>
        </is>
      </c>
      <c r="R68" t="inlineStr">
        <is>
          <t>Extraction failed: Error code: 429 - {'error': {'message': 'Rate limit reached for gpt-4o-mini in organization org-yxlANRzi0Oqve1YBelSfweH1 on tokens per min (TPM): Limit 200000, Used 200000, Requested 4746. Please try again in 1.423s. Visit https://platform.openai.com/account/rate-limits to learn more.', 'type': 'tokens', 'param': None, 'code': 'rate_limit_exceeded'}}</t>
        </is>
      </c>
      <c r="U68" t="inlineStr">
        <is>
          <t>2026-09-26T12:52:59+00:00</t>
        </is>
      </c>
    </row>
    <row r="69">
      <c r="A69">
        <f>HYPERLINK("non_traded\1399.pdf","1399.pdf")</f>
        <v/>
      </c>
      <c r="B69" t="inlineStr">
        <is>
          <t>No</t>
        </is>
      </c>
      <c r="C69" t="inlineStr">
        <is>
          <t>RAASI LEASING LIMITED</t>
        </is>
      </c>
      <c r="D69" t="inlineStr">
        <is>
          <t>Equity</t>
        </is>
      </c>
      <c r="E69" t="n">
        <v>474</v>
      </c>
      <c r="F69" t="n">
        <v>474</v>
      </c>
      <c r="G69" t="n">
        <v>1399</v>
      </c>
      <c r="H69" t="inlineStr">
        <is>
          <t>VALLURI SATYANARAYANA CHOWDHARY</t>
        </is>
      </c>
      <c r="I69" t="n">
        <v>100</v>
      </c>
      <c r="J69" t="n">
        <v>10</v>
      </c>
      <c r="K69" t="n">
        <v>226901</v>
      </c>
      <c r="L69" t="n">
        <v>227000</v>
      </c>
      <c r="M69" s="1" t="n">
        <v>31317</v>
      </c>
      <c r="N69" t="inlineStr">
        <is>
          <t>JAGDISH PANALAL GANDHI</t>
        </is>
      </c>
      <c r="O69" s="1" t="n">
        <v>32303</v>
      </c>
      <c r="P69" t="n">
        <v>88</v>
      </c>
      <c r="Q69" t="inlineStr">
        <is>
          <t>Transferred to HARI NARAYAN RATHI on 15/09/1987 -&gt; Transferred to JAGDISH PANALAL GANDHI on 09/06/1988</t>
        </is>
      </c>
      <c r="R69" t="inlineStr">
        <is>
          <t>Transfer history read from transfer log - verify by eye (folios: 474 -&gt; 78 -&gt; 88; holders: VALLURI SATYANARAYANA CHOWDHARY -&gt; HARI NARAYAN RATHI -&gt; JAGDISH PANALAL GANDHI)</t>
        </is>
      </c>
      <c r="S69" t="inlineStr">
        <is>
          <t>474 -&gt; 78 -&gt; 88</t>
        </is>
      </c>
      <c r="T69" t="inlineStr">
        <is>
          <t>VALLURI SATYANARAYANA CHOWDHARY -&gt; HARI NARAYAN RATHI -&gt; JAGDISH PANALAL GANDHI</t>
        </is>
      </c>
      <c r="U69" t="inlineStr">
        <is>
          <t>2026-09-26T12:53:30+00:00</t>
        </is>
      </c>
    </row>
    <row r="70">
      <c r="A70">
        <f>HYPERLINK("non_traded\1382.pdf","1382.pdf")</f>
        <v/>
      </c>
      <c r="B70" t="inlineStr">
        <is>
          <t>No</t>
        </is>
      </c>
      <c r="C70" t="inlineStr">
        <is>
          <t>RAASI LEASING LIMITED</t>
        </is>
      </c>
      <c r="D70" t="inlineStr">
        <is>
          <t>Equity</t>
        </is>
      </c>
      <c r="E70" t="n">
        <v>463</v>
      </c>
      <c r="F70" t="n">
        <v>463</v>
      </c>
      <c r="G70" t="n">
        <v>1382</v>
      </c>
      <c r="H70" t="inlineStr">
        <is>
          <t>MANDAPATI RAMACHANDRA RAJU</t>
        </is>
      </c>
      <c r="I70" t="n">
        <v>100</v>
      </c>
      <c r="J70" t="n">
        <v>10</v>
      </c>
      <c r="K70" t="n">
        <v>225201</v>
      </c>
      <c r="L70" t="n">
        <v>225300</v>
      </c>
      <c r="M70" s="1" t="n">
        <v>31317</v>
      </c>
      <c r="N70" t="inlineStr">
        <is>
          <t>JAGDISH PANALAL GANDHI</t>
        </is>
      </c>
      <c r="O70" s="1" t="n">
        <v>33136</v>
      </c>
      <c r="P70" t="inlineStr">
        <is>
          <t>D088</t>
        </is>
      </c>
      <c r="Q70" t="inlineStr">
        <is>
          <t>Transferred to HARI NARAYAN RATHI on 15/06/1987 -&gt; Transferred to JAGDISH PANALAL GANDHI on 20/09/1990</t>
        </is>
      </c>
      <c r="R70" t="inlineStr">
        <is>
          <t>Transfer history read from transfer log - verify by eye (folios: 463 -&gt; 78 -&gt; D088; holders: MANDAPATI RAMACHANDRA RAJU -&gt; HARI NARAYAN RATHI -&gt; JAGDISH PANALAL GANDHI)</t>
        </is>
      </c>
      <c r="S70" t="inlineStr">
        <is>
          <t>463 -&gt; 78 -&gt; D088</t>
        </is>
      </c>
      <c r="T70" t="inlineStr">
        <is>
          <t>MANDAPATI RAMACHANDRA RAJU -&gt; HARI NARAYAN RATHI -&gt; JAGDISH PANALAL GANDHI</t>
        </is>
      </c>
      <c r="U70" t="inlineStr">
        <is>
          <t>2026-09-26T12:54:08+00:00</t>
        </is>
      </c>
    </row>
    <row r="71">
      <c r="A71">
        <f>HYPERLINK("non_traded\1381.pdf","1381.pdf")</f>
        <v/>
      </c>
      <c r="B71" t="inlineStr">
        <is>
          <t>Yes</t>
        </is>
      </c>
      <c r="R71" t="inlineStr">
        <is>
          <t>Extraction failed: Error code: 429 - {'error': {'message': 'Rate limit reached for gpt-4o-mini in organization org-yxlANRzi0Oqve1YBelSfweH1 on tokens per min (TPM): Limit 200000, Used 200000, Requested 3981. Please try again in 1.194s. Visit https://platform.openai.com/account/rate-limits to learn more.', 'type': 'tokens', 'param': None, 'code': 'rate_limit_exceeded'}}</t>
        </is>
      </c>
      <c r="U71" t="inlineStr">
        <is>
          <t>2026-09-26T12:54:28+00:00</t>
        </is>
      </c>
    </row>
    <row r="72">
      <c r="A72">
        <f>HYPERLINK("non_traded\383.pdf","383.pdf")</f>
        <v/>
      </c>
      <c r="B72" t="inlineStr">
        <is>
          <t>No</t>
        </is>
      </c>
      <c r="C72" t="inlineStr">
        <is>
          <t>Teekoy Rubbers (India), Limited</t>
        </is>
      </c>
      <c r="D72" t="inlineStr">
        <is>
          <t>Ordinary</t>
        </is>
      </c>
      <c r="E72" t="n">
        <v>29101</v>
      </c>
      <c r="F72" t="n">
        <v>29101</v>
      </c>
      <c r="G72" t="n">
        <v>383</v>
      </c>
      <c r="H72" t="inlineStr">
        <is>
          <t>Mrs. Bomanji / Mrs. Nashir Bomanji</t>
        </is>
      </c>
      <c r="I72" t="n">
        <v>25</v>
      </c>
      <c r="J72" t="n">
        <v>10</v>
      </c>
      <c r="K72" t="n">
        <v>1</v>
      </c>
      <c r="L72" t="n">
        <v>25</v>
      </c>
      <c r="M72" s="1" t="n">
        <v>34486</v>
      </c>
      <c r="N72" t="inlineStr">
        <is>
          <t>Mrs. Bomanji / Mrs. Nashir Bomanji</t>
        </is>
      </c>
      <c r="P72" t="n">
        <v>29101</v>
      </c>
      <c r="S72" t="n">
        <v>29101</v>
      </c>
      <c r="T72" t="inlineStr">
        <is>
          <t>Mrs. Bomanji / Mrs. Nashir Bomanji</t>
        </is>
      </c>
      <c r="U72" t="inlineStr">
        <is>
          <t>2026-09-26T12:54:35+00:00</t>
        </is>
      </c>
    </row>
    <row r="73">
      <c r="A73">
        <f>HYPERLINK("non_traded\1153.pdf","1153.pdf")</f>
        <v/>
      </c>
      <c r="B73" t="inlineStr">
        <is>
          <t>No</t>
        </is>
      </c>
      <c r="C73" t="inlineStr">
        <is>
          <t>Diamond Dies Manufacturing Corporation Limited</t>
        </is>
      </c>
      <c r="D73" t="inlineStr">
        <is>
          <t>Equity</t>
        </is>
      </c>
      <c r="E73" t="inlineStr">
        <is>
          <t>DD/335</t>
        </is>
      </c>
      <c r="F73" t="inlineStr">
        <is>
          <t>DD/335</t>
        </is>
      </c>
      <c r="G73" t="n">
        <v>1153</v>
      </c>
      <c r="H73" t="inlineStr">
        <is>
          <t>Shri Jagdish Pannalal Gandhi in joint account with Shri Jitendra Ratilal Shroff</t>
        </is>
      </c>
      <c r="I73" t="n">
        <v>25</v>
      </c>
      <c r="J73" t="n">
        <v>10</v>
      </c>
      <c r="K73" t="n">
        <v>239593</v>
      </c>
      <c r="L73" t="n">
        <v>239617</v>
      </c>
      <c r="M73" s="1" t="n">
        <v>29752</v>
      </c>
      <c r="N73" t="inlineStr">
        <is>
          <t>Shri Jagdish Pannalal Gandhi in joint account with Shri Jitendra Ratilal Shroff</t>
        </is>
      </c>
      <c r="P73" t="inlineStr">
        <is>
          <t>DD/335</t>
        </is>
      </c>
      <c r="S73" t="inlineStr">
        <is>
          <t>DD/335</t>
        </is>
      </c>
      <c r="T73" t="inlineStr">
        <is>
          <t>Shri Jagdish Pannalal Gandhi in joint account with Shri Jitendra Ratilal Shroff</t>
        </is>
      </c>
      <c r="U73" t="inlineStr">
        <is>
          <t>2026-09-26T12:54:52+00:00</t>
        </is>
      </c>
    </row>
    <row r="74">
      <c r="A74">
        <f>HYPERLINK("non_traded\1400.pdf","1400.pdf")</f>
        <v/>
      </c>
      <c r="B74" t="inlineStr">
        <is>
          <t>No</t>
        </is>
      </c>
      <c r="C74" t="inlineStr">
        <is>
          <t>RAASI LEASING LIMITED</t>
        </is>
      </c>
      <c r="D74" t="inlineStr">
        <is>
          <t>Equity</t>
        </is>
      </c>
      <c r="E74" t="n">
        <v>474</v>
      </c>
      <c r="F74" t="n">
        <v>474</v>
      </c>
      <c r="G74" t="n">
        <v>1400</v>
      </c>
      <c r="H74" t="inlineStr">
        <is>
          <t>VALLURI SATYANARAYANA CHOWDHARY</t>
        </is>
      </c>
      <c r="I74" t="n">
        <v>100</v>
      </c>
      <c r="J74" t="n">
        <v>10</v>
      </c>
      <c r="K74" t="n">
        <v>227001</v>
      </c>
      <c r="L74" t="n">
        <v>227100</v>
      </c>
      <c r="M74" s="1" t="n">
        <v>31317</v>
      </c>
      <c r="N74" t="inlineStr">
        <is>
          <t>JAGDISH P GANDHI</t>
        </is>
      </c>
      <c r="O74" s="1" t="n">
        <v>32092</v>
      </c>
      <c r="P74" t="n">
        <v>88</v>
      </c>
      <c r="Q74" t="inlineStr">
        <is>
          <t>Transferred to JAGDISH P GANDHI on 11-11-1987</t>
        </is>
      </c>
      <c r="R74" t="inlineStr">
        <is>
          <t>Transfer history read from transfer log - verify by eye (folios: 474 -&gt; 88; holders: VALLURI SATYANARAYANA CHOWDHARY -&gt; JAGDISH P GANDHI)</t>
        </is>
      </c>
      <c r="S74" t="inlineStr">
        <is>
          <t>474 -&gt; 88</t>
        </is>
      </c>
      <c r="T74" t="inlineStr">
        <is>
          <t>VALLURI SATYANARAYANA CHOWDHARY -&gt; JAGDISH P GANDHI</t>
        </is>
      </c>
      <c r="U74" t="inlineStr">
        <is>
          <t>2026-09-26T12:54:52+00:00</t>
        </is>
      </c>
    </row>
    <row r="75">
      <c r="A75">
        <f>HYPERLINK("non_traded\1118.pdf","1118.pdf")</f>
        <v/>
      </c>
      <c r="B75" t="inlineStr">
        <is>
          <t>Yes</t>
        </is>
      </c>
      <c r="C75" t="inlineStr">
        <is>
          <t>Weston Electroniks Limited</t>
        </is>
      </c>
      <c r="D75" t="inlineStr">
        <is>
          <t>Equity</t>
        </is>
      </c>
      <c r="E75" t="inlineStr">
        <is>
          <t>A-00952</t>
        </is>
      </c>
      <c r="F75" t="inlineStr">
        <is>
          <t>A-00952</t>
        </is>
      </c>
      <c r="G75" t="n">
        <v>1118</v>
      </c>
      <c r="H75" t="inlineStr">
        <is>
          <t>AVNIDER KAUR</t>
        </is>
      </c>
      <c r="I75" t="n">
        <v>25</v>
      </c>
      <c r="J75" t="n">
        <v>10</v>
      </c>
      <c r="K75" t="n">
        <v>396195</v>
      </c>
      <c r="L75" t="n">
        <v>396220</v>
      </c>
      <c r="M75" s="1" t="n">
        <v>30721</v>
      </c>
      <c r="N75" t="inlineStr">
        <is>
          <t>MOHAN KANWAR BHANDARI</t>
        </is>
      </c>
      <c r="O75" s="1" t="n">
        <v>31191</v>
      </c>
      <c r="P75" t="inlineStr">
        <is>
          <t>M-1380</t>
        </is>
      </c>
      <c r="Q75" t="inlineStr">
        <is>
          <t>Transferred to MOHAN KANWAR BHANDARI on 24/05/85</t>
        </is>
      </c>
      <c r="R75" t="inlineStr">
        <is>
          <t>Share count 25 != distinctive span 26; Transfer history read from transfer log - verify by eye (folios: A-00952 -&gt; H-536 -&gt; M-1380; holders: AVNIDER KAUR -&gt; HEMANT SHAH -&gt; MOHAN KANWAR BHANDARI)</t>
        </is>
      </c>
      <c r="S75" t="inlineStr">
        <is>
          <t>A-00952 -&gt; H-536 -&gt; M-1380</t>
        </is>
      </c>
      <c r="T75" t="inlineStr">
        <is>
          <t>AVNIDER KAUR -&gt; HEMANT SHAH -&gt; MOHAN KANWAR BHANDARI</t>
        </is>
      </c>
      <c r="U75" t="inlineStr">
        <is>
          <t>2026-09-26T12:54:53+00:00</t>
        </is>
      </c>
    </row>
    <row r="76">
      <c r="A76">
        <f>HYPERLINK("non_traded\665.pdf","665.pdf")</f>
        <v/>
      </c>
      <c r="B76" t="inlineStr">
        <is>
          <t>No</t>
        </is>
      </c>
      <c r="C76" t="inlineStr">
        <is>
          <t>RAASI LEASING LIMITED</t>
        </is>
      </c>
      <c r="D76" t="inlineStr">
        <is>
          <t>Equity</t>
        </is>
      </c>
      <c r="E76" t="n">
        <v>265</v>
      </c>
      <c r="F76" t="n">
        <v>265</v>
      </c>
      <c r="G76" t="n">
        <v>665</v>
      </c>
      <c r="H76" t="inlineStr">
        <is>
          <t>BH. VENKATA NARASIMHA RAJU</t>
        </is>
      </c>
      <c r="I76" t="n">
        <v>100</v>
      </c>
      <c r="J76" t="n">
        <v>10</v>
      </c>
      <c r="K76" t="n">
        <v>74001</v>
      </c>
      <c r="L76" t="n">
        <v>74100</v>
      </c>
      <c r="M76" s="1" t="n">
        <v>31021</v>
      </c>
      <c r="N76" t="inlineStr">
        <is>
          <t>JAGDISH PANALAL GANDHI</t>
        </is>
      </c>
      <c r="O76" s="1" t="n">
        <v>33136</v>
      </c>
      <c r="P76" t="inlineStr">
        <is>
          <t>D088</t>
        </is>
      </c>
      <c r="Q76" t="inlineStr">
        <is>
          <t>Transferred to SHRI HARI NARAYAN RATHI on 15/06/87 -&gt; Transferred to JAGDISH PANALAL GANDHI on 20/09/90</t>
        </is>
      </c>
      <c r="R76" t="inlineStr">
        <is>
          <t>Transfer history read from transfer log - verify by eye (folios: 265 -&gt; 73 -&gt; D088; holders: BH. VENKATA NARASIMHA RAJU -&gt; SHRI HARI NARAYAN RATHI -&gt; JAGDISH PANALAL GANDHI)</t>
        </is>
      </c>
      <c r="S76" t="inlineStr">
        <is>
          <t>265 -&gt; 73 -&gt; D088</t>
        </is>
      </c>
      <c r="T76" t="inlineStr">
        <is>
          <t>BH. VENKATA NARASIMHA RAJU -&gt; SHRI HARI NARAYAN RATHI -&gt; JAGDISH PANALAL GANDHI</t>
        </is>
      </c>
      <c r="U76" t="inlineStr">
        <is>
          <t>2026-09-26T12:54:54+00:00</t>
        </is>
      </c>
    </row>
    <row r="77">
      <c r="A77">
        <f>HYPERLINK("non_traded\664.pdf","664.pdf")</f>
        <v/>
      </c>
      <c r="B77" t="inlineStr">
        <is>
          <t>Yes</t>
        </is>
      </c>
      <c r="R77" t="inlineStr">
        <is>
          <t>Extraction failed: Error code: 429 - {'error': {'message': 'Rate limit reached for gpt-4o-mini in organization org-yxlANRzi0Oqve1YBelSfweH1 on tokens per min (TPM): Limit 200000, Used 200000, Requested 2376. Please try again in 712ms. Visit https://platform.openai.com/account/rate-limits to learn more.', 'type': 'tokens', 'param': None, 'code': 'rate_limit_exceeded'}}</t>
        </is>
      </c>
      <c r="U77" t="inlineStr">
        <is>
          <t>2026-09-26T12:55:21+00:00</t>
        </is>
      </c>
    </row>
    <row r="78">
      <c r="A78">
        <f>HYPERLINK("non_traded\668.pdf","668.pdf")</f>
        <v/>
      </c>
      <c r="B78" t="inlineStr">
        <is>
          <t>No</t>
        </is>
      </c>
      <c r="C78" t="inlineStr">
        <is>
          <t>BELL GRAPHIC RECORDING CHARTS LIMITED</t>
        </is>
      </c>
      <c r="D78" t="inlineStr">
        <is>
          <t>Equity</t>
        </is>
      </c>
      <c r="E78" t="n">
        <v>665</v>
      </c>
      <c r="F78" t="n">
        <v>6751</v>
      </c>
      <c r="G78" t="n">
        <v>668</v>
      </c>
      <c r="H78" t="inlineStr">
        <is>
          <t>Miss Neera Somani</t>
        </is>
      </c>
      <c r="I78" t="n">
        <v>10</v>
      </c>
      <c r="J78" t="n">
        <v>10</v>
      </c>
      <c r="K78" t="n">
        <v>6751</v>
      </c>
      <c r="L78" t="n">
        <v>6760</v>
      </c>
      <c r="M78" s="1" t="n">
        <v>25503</v>
      </c>
      <c r="N78" t="inlineStr">
        <is>
          <t>Jagdish P. Gandhi</t>
        </is>
      </c>
      <c r="O78" s="1" t="n">
        <v>38941</v>
      </c>
      <c r="P78" t="inlineStr">
        <is>
          <t>G/1103</t>
        </is>
      </c>
      <c r="Q78" t="inlineStr">
        <is>
          <t>Transferred to Jagdish P. Gandhi on 12/08/06</t>
        </is>
      </c>
      <c r="R78" t="inlineStr">
        <is>
          <t>Transfer history read from transfer log - verify by eye (folios: 665 -&gt; 6751 -&gt; G/1019 -&gt; G/1103; holders: Miss Neera Somani -&gt; Mr. Harendra Singh -&gt; Mr. Jagadish Panalal Gandhi -&gt; Jagdish P. Gandhi)</t>
        </is>
      </c>
      <c r="S78" t="inlineStr">
        <is>
          <t>665 -&gt; 6751 -&gt; G/1019 -&gt; G/1103</t>
        </is>
      </c>
      <c r="T78" t="inlineStr">
        <is>
          <t>Miss Neera Somani -&gt; Mr. Harendra Singh -&gt; Mr. Jagadish Panalal Gandhi -&gt; Jagdish P. Gandhi</t>
        </is>
      </c>
      <c r="U78" t="inlineStr">
        <is>
          <t>2026-09-26T12:55:45+00:00</t>
        </is>
      </c>
    </row>
    <row r="79">
      <c r="A79">
        <f>HYPERLINK("non_traded\0721.pdf","0721.pdf")</f>
        <v/>
      </c>
      <c r="B79" t="inlineStr">
        <is>
          <t>No</t>
        </is>
      </c>
      <c r="C79" t="inlineStr">
        <is>
          <t>Gateway Chemists Limited</t>
        </is>
      </c>
      <c r="D79" t="inlineStr">
        <is>
          <t>Equity</t>
        </is>
      </c>
      <c r="E79" t="inlineStr">
        <is>
          <t>GC-0029</t>
        </is>
      </c>
      <c r="F79" t="inlineStr">
        <is>
          <t>GC-0029</t>
        </is>
      </c>
      <c r="G79" t="n">
        <v>0.0721</v>
      </c>
      <c r="H79" t="inlineStr">
        <is>
          <t>Mr. Jagdish Pannalal Gandhi / Jtly. Mrs. Usha Jagdish Gandhi</t>
        </is>
      </c>
      <c r="I79" t="n">
        <v>50</v>
      </c>
      <c r="J79" t="n">
        <v>10</v>
      </c>
      <c r="K79" t="n">
        <v>35501</v>
      </c>
      <c r="L79" t="n">
        <v>35550</v>
      </c>
      <c r="M79" s="1" t="n">
        <v>29029</v>
      </c>
      <c r="N79" t="inlineStr">
        <is>
          <t>Mr. Jagdish Pannalal Gandhi / Jtly. Mrs. Usha Jagdish Gandhi</t>
        </is>
      </c>
      <c r="P79" t="inlineStr">
        <is>
          <t>GC-0029</t>
        </is>
      </c>
      <c r="S79" t="inlineStr">
        <is>
          <t>GC-0029</t>
        </is>
      </c>
      <c r="T79" t="inlineStr">
        <is>
          <t>Mr. Jagdish Pannalal Gandhi / Jtly. Mrs. Usha Jagdish Gandhi</t>
        </is>
      </c>
      <c r="U79" t="inlineStr">
        <is>
          <t>2026-09-26T12:56:50+00:00</t>
        </is>
      </c>
    </row>
    <row r="80">
      <c r="A80">
        <f>HYPERLINK("non_traded\0723.pdf","0723.pdf")</f>
        <v/>
      </c>
      <c r="B80" t="inlineStr">
        <is>
          <t>No</t>
        </is>
      </c>
      <c r="C80" t="inlineStr">
        <is>
          <t>Gateway Chemists Limited</t>
        </is>
      </c>
      <c r="D80" t="inlineStr">
        <is>
          <t>Equity</t>
        </is>
      </c>
      <c r="E80" t="inlineStr">
        <is>
          <t>GC-0029</t>
        </is>
      </c>
      <c r="F80" t="inlineStr">
        <is>
          <t>GC-0029</t>
        </is>
      </c>
      <c r="G80" t="n">
        <v>0.0723</v>
      </c>
      <c r="H80" t="inlineStr">
        <is>
          <t>Mr. Jagdish Panalal Gandhi / Mrs. Usha Jagdish Gandhi</t>
        </is>
      </c>
      <c r="I80" t="n">
        <v>50</v>
      </c>
      <c r="J80" t="n">
        <v>10</v>
      </c>
      <c r="K80" t="n">
        <v>35601</v>
      </c>
      <c r="L80" t="n">
        <v>35650</v>
      </c>
      <c r="M80" s="1" t="n">
        <v>29029</v>
      </c>
      <c r="N80" t="inlineStr">
        <is>
          <t>Mr. Jagdish Panalal Gandhi / Mrs. Usha Jagdish Gandhi</t>
        </is>
      </c>
      <c r="P80" t="inlineStr">
        <is>
          <t>GC-0029</t>
        </is>
      </c>
      <c r="S80" t="inlineStr">
        <is>
          <t>GC-0029</t>
        </is>
      </c>
      <c r="T80" t="inlineStr">
        <is>
          <t>Mr. Jagdish Panalal Gandhi / Mrs. Usha Jagdish Gandhi</t>
        </is>
      </c>
      <c r="U80" t="inlineStr">
        <is>
          <t>2026-09-26T12:56:54+00:00</t>
        </is>
      </c>
    </row>
    <row r="81">
      <c r="A81">
        <f>HYPERLINK("non_traded\1421.pdf","1421.pdf")</f>
        <v/>
      </c>
      <c r="B81" t="inlineStr">
        <is>
          <t>No</t>
        </is>
      </c>
      <c r="C81" t="inlineStr">
        <is>
          <t>KAMANI METALS &amp; ALLOYS LTD.</t>
        </is>
      </c>
      <c r="D81" t="inlineStr">
        <is>
          <t>Ordinary</t>
        </is>
      </c>
      <c r="E81" s="3" t="n">
        <v>44197</v>
      </c>
      <c r="F81" s="3" t="n">
        <v>44197</v>
      </c>
      <c r="G81" t="n">
        <v>1421</v>
      </c>
      <c r="H81" t="inlineStr">
        <is>
          <t>KAMANI BROTHERS PRIVATE LTD.</t>
        </is>
      </c>
      <c r="I81" t="n">
        <v>25</v>
      </c>
      <c r="J81" t="n">
        <v>10</v>
      </c>
      <c r="K81" t="n">
        <v>43945</v>
      </c>
      <c r="L81" t="n">
        <v>43969</v>
      </c>
      <c r="M81" s="1" t="n">
        <v>24698</v>
      </c>
      <c r="N81" t="inlineStr">
        <is>
          <t>Shri JAGDISH P. GANDHI</t>
        </is>
      </c>
      <c r="O81" s="1" t="n">
        <v>27567</v>
      </c>
      <c r="P81" t="inlineStr">
        <is>
          <t>1/210</t>
        </is>
      </c>
      <c r="Q81" t="inlineStr">
        <is>
          <t>Transferred to Shri JAGDISH P. GANDHI on 22/06/75</t>
        </is>
      </c>
      <c r="R81" t="inlineStr">
        <is>
          <t>Transfer history read from transfer log - verify by eye (folios: 1/21 -&gt; 1/210; holders: KAMANI BROTHERS PRIVATE LTD. -&gt; Shri JAGDISH P. GANDHI); Possible duplicate: same certificate also extracted from 1424.pdf</t>
        </is>
      </c>
      <c r="S81" t="inlineStr">
        <is>
          <t>1/21 -&gt; 1/210</t>
        </is>
      </c>
      <c r="T81" t="inlineStr">
        <is>
          <t>KAMANI BROTHERS PRIVATE LTD. -&gt; Shri JAGDISH P. GANDHI</t>
        </is>
      </c>
      <c r="U81" t="inlineStr">
        <is>
          <t>2026-09-26T12:56:54+00:00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2026-09-29T11:18:05Z</dcterms:created>
  <dcterms:modified xsi:type="dcterms:W3CDTF">2026-09-29T11:23:26Z</dcterms:modified>
  <cp:lastModifiedBy>Naman Sharma</cp:lastModifiedBy>
</cp:coreProperties>
</file>